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https://umainesystem-my.sharepoint.com/personal/margaret_estapa_maine_edu/Documents/EXPORTS/"/>
    </mc:Choice>
  </mc:AlternateContent>
  <xr:revisionPtr revIDLastSave="23" documentId="8_{2EBDF05C-68DF-974B-8B71-2ACDB32A8F7E}" xr6:coauthVersionLast="47" xr6:coauthVersionMax="47" xr10:uidLastSave="{ACE0FD01-B72B-2B4C-8674-9436B8A84A60}"/>
  <bookViews>
    <workbookView xWindow="12560" yWindow="500" windowWidth="25140" windowHeight="21100" activeTab="1" xr2:uid="{00000000-000D-0000-FFFF-FFFF00000000}"/>
  </bookViews>
  <sheets>
    <sheet name="splits" sheetId="8" r:id="rId1"/>
    <sheet name="mean" sheetId="5" r:id="rId2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15" i="5" l="1"/>
  <c r="AG15" i="5"/>
</calcChain>
</file>

<file path=xl/sharedStrings.xml><?xml version="1.0" encoding="utf-8"?>
<sst xmlns="http://schemas.openxmlformats.org/spreadsheetml/2006/main" count="606" uniqueCount="80">
  <si>
    <t>Epoch</t>
  </si>
  <si>
    <t>Trap type (1=NBST, 2=STT)</t>
  </si>
  <si>
    <t>Platform</t>
  </si>
  <si>
    <t>Depth nominal (m)</t>
  </si>
  <si>
    <t>Depth actual (m)</t>
  </si>
  <si>
    <t>Trap rep (0=first trap deployed at target depth, 1=second trap deployed at target depth)</t>
  </si>
  <si>
    <t>R2R event</t>
  </si>
  <si>
    <t>Date deploy (UTC)</t>
  </si>
  <si>
    <t>Date lids (UTC)</t>
  </si>
  <si>
    <t>Date resurface (UTC)</t>
  </si>
  <si>
    <t>Date recover (UTC)</t>
  </si>
  <si>
    <t>Lat deploy</t>
  </si>
  <si>
    <t>Lon deploy</t>
  </si>
  <si>
    <t>Lat lids</t>
  </si>
  <si>
    <t>Lon lids</t>
  </si>
  <si>
    <t>Lat resurface</t>
  </si>
  <si>
    <t>Lon resurface</t>
  </si>
  <si>
    <t>Lat recover</t>
  </si>
  <si>
    <t>Lon recover</t>
  </si>
  <si>
    <t>Split</t>
  </si>
  <si>
    <t>C flux (mmol-C/m2/d)</t>
  </si>
  <si>
    <t>C flux uncertainty</t>
  </si>
  <si>
    <t>PIC flux (mmol-PIC/m2/d)</t>
  </si>
  <si>
    <t>PIC flux uncertainty</t>
  </si>
  <si>
    <t>POC flux (mmol-POC/m2/d)</t>
  </si>
  <si>
    <t>POC flux uncertainty</t>
  </si>
  <si>
    <t>N flux (mmol-N/m2/d)</t>
  </si>
  <si>
    <t>N flux uncertainty</t>
  </si>
  <si>
    <t>bSi flux (mmol-bSi/m2/d)</t>
  </si>
  <si>
    <t>bSi flux uncertainty</t>
  </si>
  <si>
    <t>Mass flux (mg/m2/d)</t>
  </si>
  <si>
    <t>Mass flux uncertainty</t>
  </si>
  <si>
    <t>234Th flux (dpm/m2/d)</t>
  </si>
  <si>
    <t>234Th flux uncertainty</t>
  </si>
  <si>
    <t>Burnwire flag (0=burnwire functional, 3=burnwire failure, lids open until recovery)</t>
  </si>
  <si>
    <t>Comments (contact Meg Estapa with questions)</t>
  </si>
  <si>
    <t>NBST 302</t>
  </si>
  <si>
    <t>20210506.0110.001</t>
  </si>
  <si>
    <t>A</t>
  </si>
  <si>
    <t>B</t>
  </si>
  <si>
    <t>C</t>
  </si>
  <si>
    <t>NBST 307</t>
  </si>
  <si>
    <t>20210506.0111.001</t>
  </si>
  <si>
    <t>49.026148 </t>
  </si>
  <si>
    <t>-14.829408 </t>
  </si>
  <si>
    <t>STT 1</t>
  </si>
  <si>
    <t>20210506.0058.001</t>
  </si>
  <si>
    <t>--</t>
  </si>
  <si>
    <t>Burnwire failure.  Weather-delayed recovery (recovered at 5.93 d)</t>
  </si>
  <si>
    <t>STT 2</t>
  </si>
  <si>
    <t>Weather-delayed recovery (recovered at 5.93 d)</t>
  </si>
  <si>
    <t>STT 3</t>
  </si>
  <si>
    <t>STT 4</t>
  </si>
  <si>
    <t>STT 5</t>
  </si>
  <si>
    <t>Gel cam probably exploded during deployment (broke gel tube).  Weather-delayed recovery (recovered at 5.93 d)</t>
  </si>
  <si>
    <t>20210513.0913.001</t>
  </si>
  <si>
    <t>Extra formalin+gel VERTEX tube</t>
  </si>
  <si>
    <t>Burnwire failure.  Extra formalin+gel VERTEX tube</t>
  </si>
  <si>
    <t>NBST 20</t>
  </si>
  <si>
    <t>20210523.0845.001</t>
  </si>
  <si>
    <t>Brief resurfacing (0.13 d) at start of deployment</t>
  </si>
  <si>
    <t>NBST 307A</t>
  </si>
  <si>
    <t>20210523.0843.001</t>
  </si>
  <si>
    <t>NA</t>
  </si>
  <si>
    <t>Lid open at recovery, so reported separately from "B" tube.  However, fluxes were similar so in some cases it may be OK to average the values.  Split data for &lt; 335 um fraction only available upon request.</t>
  </si>
  <si>
    <t>NBST 307B</t>
  </si>
  <si>
    <t xml:space="preserve">Lid closed at recovery, so reported separately from "A" tube.  However, fluxes were similar so in some cases it may be OK to average the values.  </t>
  </si>
  <si>
    <t>20210523.0836.001</t>
  </si>
  <si>
    <t>Amount collected by all tubes was low compared to deeper depths on the array.  Trap may have been in mixed layer or subject to hydrodynamic influences, treat with caution.</t>
  </si>
  <si>
    <t>20210523.0842.001</t>
  </si>
  <si>
    <t>Resurfaced for approx 9 h prior to reaching target depth.  9h = 0.38d</t>
  </si>
  <si>
    <t>NBST 305</t>
  </si>
  <si>
    <t>20210523.0841.001</t>
  </si>
  <si>
    <t>Gel tube lid open at recovery (fouled on cage)</t>
  </si>
  <si>
    <t>NBST 304</t>
  </si>
  <si>
    <t>20210523.0840.001</t>
  </si>
  <si>
    <t>Burnwire failure.  Trap spent 0.22 d open at surface after resurfacing, but the brine layer was intact</t>
  </si>
  <si>
    <t>Deployment notes</t>
  </si>
  <si>
    <t>mean</t>
  </si>
  <si>
    <t>Lid open at recovery, so reported separately from "B" tube.  However, fluxes were similar so in some cases it may be OK to average the values.  Mass/bSi flux for &lt; 335 um fraction only available upon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</si>
</sst>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m/d/yy\ h:mm;@"/>
    <numFmt numFmtId="167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8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10" xfId="0" applyBorder="1" applyAlignment="1">
      <alignment horizontal="right"/>
    </xf>
    <xf numFmtId="164" fontId="0" fillId="0" borderId="10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" fontId="0" fillId="0" borderId="10" xfId="0" applyNumberFormat="1" applyBorder="1" applyAlignment="1">
      <alignment horizontal="right"/>
    </xf>
    <xf numFmtId="0" fontId="0" fillId="0" borderId="0" xfId="0" applyAlignment="1">
      <alignment horizontal="right"/>
    </xf>
    <xf numFmtId="22" fontId="0" fillId="0" borderId="10" xfId="0" applyNumberForma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165" fontId="18" fillId="0" borderId="10" xfId="0" applyNumberFormat="1" applyFont="1" applyBorder="1" applyAlignment="1">
      <alignment horizontal="right"/>
    </xf>
    <xf numFmtId="164" fontId="18" fillId="0" borderId="10" xfId="0" applyNumberFormat="1" applyFont="1" applyBorder="1" applyAlignment="1">
      <alignment horizontal="right"/>
    </xf>
    <xf numFmtId="1" fontId="18" fillId="0" borderId="10" xfId="0" applyNumberFormat="1" applyFont="1" applyBorder="1" applyAlignment="1">
      <alignment horizontal="right"/>
    </xf>
    <xf numFmtId="0" fontId="0" fillId="0" borderId="10" xfId="0" quotePrefix="1" applyBorder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2" fontId="0" fillId="0" borderId="10" xfId="0" quotePrefix="1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19" fillId="0" borderId="0" xfId="0" applyFont="1"/>
    <xf numFmtId="1" fontId="0" fillId="0" borderId="11" xfId="0" applyNumberFormat="1" applyBorder="1"/>
    <xf numFmtId="165" fontId="20" fillId="0" borderId="11" xfId="0" applyNumberFormat="1" applyFont="1" applyBorder="1"/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0" xfId="0" applyBorder="1"/>
    <xf numFmtId="2" fontId="0" fillId="0" borderId="10" xfId="0" applyNumberFormat="1" applyBorder="1"/>
    <xf numFmtId="164" fontId="0" fillId="0" borderId="10" xfId="0" applyNumberFormat="1" applyBorder="1"/>
    <xf numFmtId="165" fontId="0" fillId="0" borderId="10" xfId="0" applyNumberFormat="1" applyBorder="1"/>
    <xf numFmtId="1" fontId="0" fillId="0" borderId="10" xfId="0" applyNumberFormat="1" applyBorder="1"/>
    <xf numFmtId="1" fontId="0" fillId="0" borderId="10" xfId="0" applyNumberForma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left" wrapText="1"/>
    </xf>
    <xf numFmtId="0" fontId="0" fillId="0" borderId="15" xfId="0" applyBorder="1"/>
    <xf numFmtId="0" fontId="0" fillId="0" borderId="10" xfId="0" applyFill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horizontal="right"/>
    </xf>
    <xf numFmtId="1" fontId="0" fillId="0" borderId="10" xfId="0" applyNumberFormat="1" applyFill="1" applyBorder="1" applyAlignment="1">
      <alignment horizontal="left"/>
    </xf>
    <xf numFmtId="22" fontId="0" fillId="0" borderId="10" xfId="0" applyNumberFormat="1" applyFill="1" applyBorder="1" applyAlignment="1">
      <alignment horizontal="center"/>
    </xf>
    <xf numFmtId="22" fontId="0" fillId="0" borderId="10" xfId="0" quotePrefix="1" applyNumberFormat="1" applyFill="1" applyBorder="1" applyAlignment="1">
      <alignment horizontal="center"/>
    </xf>
    <xf numFmtId="0" fontId="0" fillId="0" borderId="10" xfId="0" quotePrefix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right"/>
    </xf>
    <xf numFmtId="2" fontId="0" fillId="0" borderId="10" xfId="0" applyNumberFormat="1" applyFill="1" applyBorder="1"/>
    <xf numFmtId="165" fontId="0" fillId="0" borderId="10" xfId="0" applyNumberFormat="1" applyFill="1" applyBorder="1"/>
    <xf numFmtId="164" fontId="0" fillId="0" borderId="10" xfId="0" applyNumberFormat="1" applyFill="1" applyBorder="1"/>
    <xf numFmtId="1" fontId="0" fillId="0" borderId="10" xfId="0" applyNumberFormat="1" applyFill="1" applyBorder="1"/>
    <xf numFmtId="0" fontId="0" fillId="0" borderId="10" xfId="0" applyFill="1" applyBorder="1"/>
    <xf numFmtId="0" fontId="0" fillId="0" borderId="10" xfId="0" applyFill="1" applyBorder="1" applyAlignment="1">
      <alignment horizontal="left" wrapText="1"/>
    </xf>
    <xf numFmtId="0" fontId="0" fillId="0" borderId="0" xfId="0" applyFill="1"/>
    <xf numFmtId="22" fontId="0" fillId="0" borderId="10" xfId="0" applyNumberFormat="1" applyFill="1" applyBorder="1" applyAlignment="1">
      <alignment horizontal="right"/>
    </xf>
    <xf numFmtId="2" fontId="18" fillId="0" borderId="10" xfId="0" applyNumberFormat="1" applyFont="1" applyFill="1" applyBorder="1" applyAlignment="1">
      <alignment horizontal="right"/>
    </xf>
    <xf numFmtId="165" fontId="18" fillId="0" borderId="10" xfId="0" applyNumberFormat="1" applyFont="1" applyFill="1" applyBorder="1" applyAlignment="1">
      <alignment horizontal="right"/>
    </xf>
    <xf numFmtId="164" fontId="18" fillId="0" borderId="10" xfId="0" applyNumberFormat="1" applyFont="1" applyFill="1" applyBorder="1" applyAlignment="1">
      <alignment horizontal="right"/>
    </xf>
    <xf numFmtId="1" fontId="18" fillId="0" borderId="10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5"/>
  <sheetViews>
    <sheetView workbookViewId="0">
      <pane xSplit="3" ySplit="1" topLeftCell="D2" activePane="bottomRight" state="frozenSplit"/>
      <selection pane="topRight" activeCell="H1" sqref="H1"/>
      <selection pane="bottomLeft" activeCell="A24" sqref="A24"/>
      <selection pane="bottomRight" activeCell="A13" sqref="A13:XFD13"/>
    </sheetView>
  </sheetViews>
  <sheetFormatPr baseColWidth="10" defaultColWidth="8.83203125" defaultRowHeight="15" x14ac:dyDescent="0.2"/>
  <cols>
    <col min="1" max="1" width="6.33203125" style="2" bestFit="1" customWidth="1"/>
    <col min="2" max="2" width="23.6640625" style="2" customWidth="1"/>
    <col min="3" max="3" width="10.6640625" style="2" bestFit="1" customWidth="1"/>
    <col min="4" max="4" width="18" style="2" bestFit="1" customWidth="1"/>
    <col min="5" max="5" width="15.83203125" style="2" customWidth="1"/>
    <col min="6" max="6" width="7.83203125" style="2" customWidth="1"/>
    <col min="7" max="7" width="24.5" style="2" bestFit="1" customWidth="1"/>
    <col min="8" max="8" width="17.33203125" style="2" bestFit="1" customWidth="1"/>
    <col min="9" max="9" width="16" style="2" bestFit="1" customWidth="1"/>
    <col min="10" max="10" width="19.5" style="2" bestFit="1" customWidth="1"/>
    <col min="11" max="11" width="18.83203125" style="2" bestFit="1" customWidth="1"/>
    <col min="12" max="12" width="10.1640625" style="2" bestFit="1" customWidth="1"/>
    <col min="13" max="13" width="10.6640625" style="2" bestFit="1" customWidth="1"/>
    <col min="14" max="14" width="7.5" style="2" bestFit="1" customWidth="1"/>
    <col min="15" max="15" width="9.33203125" style="2" bestFit="1" customWidth="1"/>
    <col min="16" max="16" width="12.33203125" style="2" bestFit="1" customWidth="1"/>
    <col min="17" max="17" width="12.83203125" style="2" bestFit="1" customWidth="1"/>
    <col min="18" max="18" width="11.6640625" style="2" bestFit="1" customWidth="1"/>
    <col min="19" max="19" width="12.33203125" style="2" bestFit="1" customWidth="1"/>
    <col min="20" max="20" width="6" style="2" bestFit="1" customWidth="1"/>
    <col min="21" max="21" width="20.6640625" style="3" bestFit="1" customWidth="1"/>
    <col min="22" max="22" width="16.6640625" style="3" bestFit="1" customWidth="1"/>
    <col min="23" max="23" width="24.33203125" style="3" bestFit="1" customWidth="1"/>
    <col min="24" max="24" width="18.5" style="3" bestFit="1" customWidth="1"/>
    <col min="25" max="25" width="26.1640625" style="3" bestFit="1" customWidth="1"/>
    <col min="26" max="26" width="19.5" style="3" bestFit="1" customWidth="1"/>
    <col min="27" max="27" width="21.5" style="3" bestFit="1" customWidth="1"/>
    <col min="28" max="28" width="17" style="3" bestFit="1" customWidth="1"/>
    <col min="29" max="29" width="24" style="4" bestFit="1" customWidth="1"/>
    <col min="30" max="30" width="18.5" style="4" bestFit="1" customWidth="1"/>
    <col min="31" max="31" width="20.6640625" style="4" bestFit="1" customWidth="1"/>
    <col min="32" max="32" width="20.1640625" style="4" bestFit="1" customWidth="1"/>
    <col min="33" max="33" width="21.83203125" bestFit="1" customWidth="1"/>
    <col min="34" max="34" width="20.83203125" bestFit="1" customWidth="1"/>
    <col min="35" max="35" width="19.33203125" customWidth="1"/>
    <col min="36" max="36" width="52" customWidth="1"/>
  </cols>
  <sheetData>
    <row r="1" spans="1:36" x14ac:dyDescent="0.2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7" t="s">
        <v>28</v>
      </c>
      <c r="AD1" s="37" t="s">
        <v>29</v>
      </c>
      <c r="AE1" s="39" t="s">
        <v>30</v>
      </c>
      <c r="AF1" s="39" t="s">
        <v>31</v>
      </c>
      <c r="AG1" s="40" t="s">
        <v>32</v>
      </c>
      <c r="AH1" s="40" t="s">
        <v>33</v>
      </c>
      <c r="AI1" s="36" t="s">
        <v>34</v>
      </c>
      <c r="AJ1" s="36" t="s">
        <v>35</v>
      </c>
    </row>
    <row r="2" spans="1:36" ht="16" x14ac:dyDescent="0.2">
      <c r="A2" s="35">
        <v>1</v>
      </c>
      <c r="B2" s="35">
        <v>1</v>
      </c>
      <c r="C2" s="26" t="s">
        <v>36</v>
      </c>
      <c r="D2" s="8">
        <v>175</v>
      </c>
      <c r="E2" s="41">
        <v>178</v>
      </c>
      <c r="F2" s="35">
        <v>0</v>
      </c>
      <c r="G2" s="26" t="s">
        <v>37</v>
      </c>
      <c r="H2" s="25">
        <v>44321.798611111109</v>
      </c>
      <c r="I2" s="25">
        <v>44323.541666666664</v>
      </c>
      <c r="J2" s="25">
        <v>44323.666666666664</v>
      </c>
      <c r="K2" s="25">
        <v>44324.01390046296</v>
      </c>
      <c r="L2" s="8">
        <v>49.010542999999998</v>
      </c>
      <c r="M2" s="8">
        <v>-14.865964999999999</v>
      </c>
      <c r="N2" s="8"/>
      <c r="O2" s="8"/>
      <c r="P2" s="26">
        <v>49.018770000000004</v>
      </c>
      <c r="Q2" s="26">
        <v>-14.969060000000001</v>
      </c>
      <c r="R2" s="8">
        <v>49.028995999999999</v>
      </c>
      <c r="S2" s="8">
        <v>-14.832217999999999</v>
      </c>
      <c r="T2" s="42" t="s">
        <v>38</v>
      </c>
      <c r="U2" s="39">
        <v>3.7128167516231114</v>
      </c>
      <c r="V2" s="39">
        <v>1.3726018956422026</v>
      </c>
      <c r="W2" s="37">
        <v>0.21557948309342517</v>
      </c>
      <c r="X2" s="37">
        <v>2.5606215320190036E-2</v>
      </c>
      <c r="Y2" s="39">
        <v>3.4972372685296862</v>
      </c>
      <c r="Z2" s="39">
        <v>1.3728407198883605</v>
      </c>
      <c r="AA2" s="39">
        <v>0.31288549007418531</v>
      </c>
      <c r="AB2" s="39">
        <v>0.20837594728532186</v>
      </c>
      <c r="AC2" s="38">
        <v>0.44801073643633782</v>
      </c>
      <c r="AD2" s="38">
        <v>9.6158940116036588E-3</v>
      </c>
      <c r="AE2" s="40">
        <v>143.69354004992903</v>
      </c>
      <c r="AF2" s="40">
        <v>14.972381288095702</v>
      </c>
      <c r="AG2" s="40">
        <v>577.24798970143127</v>
      </c>
      <c r="AH2" s="40">
        <v>12.466303820544699</v>
      </c>
      <c r="AI2" s="36">
        <v>0</v>
      </c>
      <c r="AJ2" s="36"/>
    </row>
    <row r="3" spans="1:36" ht="16" x14ac:dyDescent="0.2">
      <c r="A3" s="35">
        <v>1</v>
      </c>
      <c r="B3" s="35">
        <v>1</v>
      </c>
      <c r="C3" s="26" t="s">
        <v>36</v>
      </c>
      <c r="D3" s="8">
        <v>175</v>
      </c>
      <c r="E3" s="41">
        <v>178</v>
      </c>
      <c r="F3" s="35">
        <v>0</v>
      </c>
      <c r="G3" s="26" t="s">
        <v>37</v>
      </c>
      <c r="H3" s="25">
        <v>44321.798611111109</v>
      </c>
      <c r="I3" s="25">
        <v>44323.541666666664</v>
      </c>
      <c r="J3" s="25">
        <v>44323.666666666664</v>
      </c>
      <c r="K3" s="25">
        <v>44324.01390046296</v>
      </c>
      <c r="L3" s="8">
        <v>49.010542999999998</v>
      </c>
      <c r="M3" s="8">
        <v>-14.865964999999999</v>
      </c>
      <c r="N3" s="8"/>
      <c r="O3" s="8"/>
      <c r="P3" s="26">
        <v>49.018770000000004</v>
      </c>
      <c r="Q3" s="26">
        <v>-14.969060000000001</v>
      </c>
      <c r="R3" s="8">
        <v>49.028995999999999</v>
      </c>
      <c r="S3" s="8">
        <v>-14.832217999999999</v>
      </c>
      <c r="T3" s="42" t="s">
        <v>39</v>
      </c>
      <c r="U3" s="39">
        <v>4.9264165921546139</v>
      </c>
      <c r="V3" s="39">
        <v>1.5879851597806232</v>
      </c>
      <c r="W3" s="37">
        <v>0.23365235051195754</v>
      </c>
      <c r="X3" s="37">
        <v>6.6625770348955726E-2</v>
      </c>
      <c r="Y3" s="39">
        <v>4.6927642416426565</v>
      </c>
      <c r="Z3" s="39">
        <v>1.5893822261992498</v>
      </c>
      <c r="AA3" s="39">
        <v>0.69678774975085067</v>
      </c>
      <c r="AB3" s="39">
        <v>0.19585197723750844</v>
      </c>
      <c r="AC3" s="38">
        <v>0.40537541628849083</v>
      </c>
      <c r="AD3" s="38">
        <v>8.7370478857393147E-3</v>
      </c>
      <c r="AE3" s="40">
        <v>277.84501886553238</v>
      </c>
      <c r="AF3" s="40">
        <v>29.061384191979307</v>
      </c>
      <c r="AG3" s="40">
        <v>486.85662867668844</v>
      </c>
      <c r="AH3" s="40">
        <v>12.607167841466099</v>
      </c>
      <c r="AI3" s="36">
        <v>0</v>
      </c>
      <c r="AJ3" s="36"/>
    </row>
    <row r="4" spans="1:36" ht="16" x14ac:dyDescent="0.2">
      <c r="A4" s="35">
        <v>1</v>
      </c>
      <c r="B4" s="35">
        <v>1</v>
      </c>
      <c r="C4" s="26" t="s">
        <v>36</v>
      </c>
      <c r="D4" s="8">
        <v>175</v>
      </c>
      <c r="E4" s="41">
        <v>178</v>
      </c>
      <c r="F4" s="35">
        <v>0</v>
      </c>
      <c r="G4" s="26" t="s">
        <v>37</v>
      </c>
      <c r="H4" s="25">
        <v>44321.798611111109</v>
      </c>
      <c r="I4" s="25">
        <v>44323.541666666664</v>
      </c>
      <c r="J4" s="25">
        <v>44323.666666666664</v>
      </c>
      <c r="K4" s="25">
        <v>44324.01390046296</v>
      </c>
      <c r="L4" s="8">
        <v>49.010542999999998</v>
      </c>
      <c r="M4" s="8">
        <v>-14.865964999999999</v>
      </c>
      <c r="N4" s="8"/>
      <c r="O4" s="8"/>
      <c r="P4" s="26">
        <v>49.018770000000004</v>
      </c>
      <c r="Q4" s="26">
        <v>-14.969060000000001</v>
      </c>
      <c r="R4" s="8">
        <v>49.028995999999999</v>
      </c>
      <c r="S4" s="8">
        <v>-14.832217999999999</v>
      </c>
      <c r="T4" s="42" t="s">
        <v>40</v>
      </c>
      <c r="U4" s="39">
        <v>4.004139671353359</v>
      </c>
      <c r="V4" s="39">
        <v>1.5746719092203514</v>
      </c>
      <c r="W4" s="37">
        <v>0.10572885247318713</v>
      </c>
      <c r="X4" s="37">
        <v>2.4599861659242665E-2</v>
      </c>
      <c r="Y4" s="39">
        <v>3.8984108188801718</v>
      </c>
      <c r="Z4" s="39">
        <v>1.5748640496504198</v>
      </c>
      <c r="AA4" s="39">
        <v>0.46234331242615984</v>
      </c>
      <c r="AB4" s="39">
        <v>0.1957592155458838</v>
      </c>
      <c r="AC4" s="38">
        <v>0.42609519033697985</v>
      </c>
      <c r="AD4" s="38">
        <v>8.7234175441345593E-3</v>
      </c>
      <c r="AE4" s="40">
        <v>175.42539462634224</v>
      </c>
      <c r="AF4" s="40">
        <v>14.961417368094844</v>
      </c>
      <c r="AG4" s="40">
        <v>573.73979292936076</v>
      </c>
      <c r="AH4" s="40">
        <v>12.752386801070738</v>
      </c>
      <c r="AI4" s="36">
        <v>0</v>
      </c>
      <c r="AJ4" s="36"/>
    </row>
    <row r="5" spans="1:36" ht="16" x14ac:dyDescent="0.2">
      <c r="A5" s="35">
        <v>1</v>
      </c>
      <c r="B5" s="35">
        <v>1</v>
      </c>
      <c r="C5" s="26" t="s">
        <v>41</v>
      </c>
      <c r="D5" s="8">
        <v>175</v>
      </c>
      <c r="E5" s="41">
        <v>177</v>
      </c>
      <c r="F5" s="35">
        <v>1</v>
      </c>
      <c r="G5" s="26" t="s">
        <v>42</v>
      </c>
      <c r="H5" s="25">
        <v>44321.666666666664</v>
      </c>
      <c r="I5" s="25">
        <v>44323.583333333336</v>
      </c>
      <c r="J5" s="25">
        <v>44323.677083333336</v>
      </c>
      <c r="K5" s="25">
        <v>44324</v>
      </c>
      <c r="L5" s="8">
        <v>49.010438999999998</v>
      </c>
      <c r="M5" s="8">
        <v>-14.865774999999999</v>
      </c>
      <c r="N5" s="8"/>
      <c r="O5" s="8"/>
      <c r="P5" s="26">
        <v>49.020629999999997</v>
      </c>
      <c r="Q5" s="26">
        <v>-14.96213</v>
      </c>
      <c r="R5" s="8" t="s">
        <v>43</v>
      </c>
      <c r="S5" s="8" t="s">
        <v>44</v>
      </c>
      <c r="T5" s="42" t="s">
        <v>38</v>
      </c>
      <c r="U5" s="39">
        <v>2.9756530100452543</v>
      </c>
      <c r="V5" s="39">
        <v>1.2537766285213972</v>
      </c>
      <c r="W5" s="37">
        <v>0.58602643007024646</v>
      </c>
      <c r="X5" s="37">
        <v>2.5808733989772698E-2</v>
      </c>
      <c r="Y5" s="39">
        <v>2.3896265799750078</v>
      </c>
      <c r="Z5" s="39">
        <v>1.2540422341279565</v>
      </c>
      <c r="AA5" s="39">
        <v>0.15561806011831528</v>
      </c>
      <c r="AB5" s="39">
        <v>0.19570213972103653</v>
      </c>
      <c r="AC5" s="38">
        <v>0.45487070100421245</v>
      </c>
      <c r="AD5" s="38">
        <v>8.5982455162385771E-3</v>
      </c>
      <c r="AE5" s="40">
        <v>148.91336326503347</v>
      </c>
      <c r="AF5" s="40">
        <v>13.621169999433469</v>
      </c>
      <c r="AG5" s="40">
        <v>593.08671563860162</v>
      </c>
      <c r="AH5" s="40">
        <v>13.206470106739809</v>
      </c>
      <c r="AI5" s="36">
        <v>0</v>
      </c>
      <c r="AJ5" s="36"/>
    </row>
    <row r="6" spans="1:36" ht="16" x14ac:dyDescent="0.2">
      <c r="A6" s="35">
        <v>1</v>
      </c>
      <c r="B6" s="35">
        <v>1</v>
      </c>
      <c r="C6" s="26" t="s">
        <v>41</v>
      </c>
      <c r="D6" s="8">
        <v>175</v>
      </c>
      <c r="E6" s="41">
        <v>177</v>
      </c>
      <c r="F6" s="35">
        <v>1</v>
      </c>
      <c r="G6" s="26" t="s">
        <v>42</v>
      </c>
      <c r="H6" s="25">
        <v>44321.666666666664</v>
      </c>
      <c r="I6" s="25">
        <v>44323.583333333336</v>
      </c>
      <c r="J6" s="25">
        <v>44323.677083333336</v>
      </c>
      <c r="K6" s="25">
        <v>44324</v>
      </c>
      <c r="L6" s="8">
        <v>49.010438999999998</v>
      </c>
      <c r="M6" s="8">
        <v>-14.865774999999999</v>
      </c>
      <c r="N6" s="8"/>
      <c r="O6" s="8"/>
      <c r="P6" s="26">
        <v>49.020629999999997</v>
      </c>
      <c r="Q6" s="26">
        <v>-14.96213</v>
      </c>
      <c r="R6" s="8" t="s">
        <v>43</v>
      </c>
      <c r="S6" s="8" t="s">
        <v>44</v>
      </c>
      <c r="T6" s="42" t="s">
        <v>39</v>
      </c>
      <c r="U6" s="39">
        <v>2.9546724983886214</v>
      </c>
      <c r="V6" s="39">
        <v>1.4361621336379029</v>
      </c>
      <c r="W6" s="37">
        <v>0.12916348795585297</v>
      </c>
      <c r="X6" s="37">
        <v>5.9269831682283738E-2</v>
      </c>
      <c r="Y6" s="39">
        <v>2.8255090104327687</v>
      </c>
      <c r="Z6" s="39">
        <v>1.4373846343421861</v>
      </c>
      <c r="AA6" s="39">
        <v>0.91488225510456966</v>
      </c>
      <c r="AB6" s="39">
        <v>0.1781319167186661</v>
      </c>
      <c r="AC6" s="38">
        <v>0.48596344726206997</v>
      </c>
      <c r="AD6" s="38">
        <v>7.9696434831938879E-3</v>
      </c>
      <c r="AE6" s="40">
        <v>191.49366181820881</v>
      </c>
      <c r="AF6" s="40">
        <v>13.604657920120154</v>
      </c>
      <c r="AG6" s="40">
        <v>597.06143809233401</v>
      </c>
      <c r="AH6" s="40">
        <v>13.221528779666066</v>
      </c>
      <c r="AI6" s="36">
        <v>0</v>
      </c>
      <c r="AJ6" s="36"/>
    </row>
    <row r="7" spans="1:36" ht="16" x14ac:dyDescent="0.2">
      <c r="A7" s="35">
        <v>1</v>
      </c>
      <c r="B7" s="35">
        <v>1</v>
      </c>
      <c r="C7" s="26" t="s">
        <v>41</v>
      </c>
      <c r="D7" s="8">
        <v>175</v>
      </c>
      <c r="E7" s="41">
        <v>177</v>
      </c>
      <c r="F7" s="35">
        <v>1</v>
      </c>
      <c r="G7" s="26" t="s">
        <v>42</v>
      </c>
      <c r="H7" s="25">
        <v>44321.666666666664</v>
      </c>
      <c r="I7" s="25">
        <v>44323.583333333336</v>
      </c>
      <c r="J7" s="25">
        <v>44323.677083333336</v>
      </c>
      <c r="K7" s="25">
        <v>44324</v>
      </c>
      <c r="L7" s="8">
        <v>49.010438999999998</v>
      </c>
      <c r="M7" s="8">
        <v>-14.865774999999999</v>
      </c>
      <c r="N7" s="8"/>
      <c r="O7" s="8"/>
      <c r="P7" s="26">
        <v>49.020629999999997</v>
      </c>
      <c r="Q7" s="26">
        <v>-14.96213</v>
      </c>
      <c r="R7" s="8" t="s">
        <v>43</v>
      </c>
      <c r="S7" s="8" t="s">
        <v>44</v>
      </c>
      <c r="T7" s="42" t="s">
        <v>40</v>
      </c>
      <c r="U7" s="39">
        <v>1.9110751876090335</v>
      </c>
      <c r="V7" s="39">
        <v>1.4443629026959444</v>
      </c>
      <c r="W7" s="37">
        <v>1.08744751283689E-2</v>
      </c>
      <c r="X7" s="37">
        <v>2.2064464192382432E-2</v>
      </c>
      <c r="Y7" s="39">
        <v>1.9002007124806646</v>
      </c>
      <c r="Z7" s="39">
        <v>1.444531424117991</v>
      </c>
      <c r="AA7" s="39">
        <v>0.22613393696630618</v>
      </c>
      <c r="AB7" s="39">
        <v>0.17804791656784821</v>
      </c>
      <c r="AC7" s="38">
        <v>0.46065224221264844</v>
      </c>
      <c r="AD7" s="38">
        <v>7.9525514864474279E-3</v>
      </c>
      <c r="AE7" s="40">
        <v>148.85196413229662</v>
      </c>
      <c r="AF7" s="40">
        <v>13.598733613330538</v>
      </c>
      <c r="AG7" s="40">
        <v>681.18264970260225</v>
      </c>
      <c r="AH7" s="40">
        <v>12.029282259572302</v>
      </c>
      <c r="AI7" s="36">
        <v>0</v>
      </c>
      <c r="AJ7" s="36"/>
    </row>
    <row r="8" spans="1:36" ht="16" x14ac:dyDescent="0.2">
      <c r="A8" s="35">
        <v>1</v>
      </c>
      <c r="B8" s="35">
        <v>2</v>
      </c>
      <c r="C8" s="26" t="s">
        <v>45</v>
      </c>
      <c r="D8" s="8">
        <v>75</v>
      </c>
      <c r="E8" s="41">
        <v>75</v>
      </c>
      <c r="F8" s="35">
        <v>0</v>
      </c>
      <c r="G8" s="26" t="s">
        <v>46</v>
      </c>
      <c r="H8" s="25">
        <v>44321.463182870371</v>
      </c>
      <c r="I8" s="27" t="s">
        <v>47</v>
      </c>
      <c r="J8" s="27">
        <v>44327.392361111109</v>
      </c>
      <c r="K8" s="25">
        <v>44327.42083333333</v>
      </c>
      <c r="L8" s="8">
        <v>49.006208000000001</v>
      </c>
      <c r="M8" s="8">
        <v>-14.862282</v>
      </c>
      <c r="N8" s="8"/>
      <c r="O8" s="8"/>
      <c r="P8" s="28" t="s">
        <v>47</v>
      </c>
      <c r="Q8" s="28" t="s">
        <v>47</v>
      </c>
      <c r="R8" s="8">
        <v>48.885728999999998</v>
      </c>
      <c r="S8" s="8">
        <v>-15.118988999999999</v>
      </c>
      <c r="T8" s="42" t="s">
        <v>38</v>
      </c>
      <c r="U8" s="39">
        <v>10.11162912339252</v>
      </c>
      <c r="V8" s="39">
        <v>0.43745937315666766</v>
      </c>
      <c r="W8" s="37">
        <v>0.14954959156341968</v>
      </c>
      <c r="X8" s="37">
        <v>7.3797189480629523E-3</v>
      </c>
      <c r="Y8" s="39">
        <v>9.9620795318291009</v>
      </c>
      <c r="Z8" s="39">
        <v>0.43752161479677437</v>
      </c>
      <c r="AA8" s="39">
        <v>1.3884410714282138</v>
      </c>
      <c r="AB8" s="39">
        <v>6.6487217271411533E-2</v>
      </c>
      <c r="AC8" s="38">
        <v>1.2318633213436001</v>
      </c>
      <c r="AD8" s="38">
        <v>2.9815397426167334E-3</v>
      </c>
      <c r="AE8" s="40">
        <v>406.93795844388023</v>
      </c>
      <c r="AF8" s="40">
        <v>4.4108568568531679</v>
      </c>
      <c r="AG8" s="40">
        <v>1059.5270516008895</v>
      </c>
      <c r="AH8" s="40">
        <v>1.9935516718348723</v>
      </c>
      <c r="AI8" s="36">
        <v>3</v>
      </c>
      <c r="AJ8" s="32" t="s">
        <v>48</v>
      </c>
    </row>
    <row r="9" spans="1:36" ht="16" x14ac:dyDescent="0.2">
      <c r="A9" s="35">
        <v>1</v>
      </c>
      <c r="B9" s="35">
        <v>2</v>
      </c>
      <c r="C9" s="26" t="s">
        <v>45</v>
      </c>
      <c r="D9" s="8">
        <v>75</v>
      </c>
      <c r="E9" s="41">
        <v>75</v>
      </c>
      <c r="F9" s="35">
        <v>0</v>
      </c>
      <c r="G9" s="26" t="s">
        <v>46</v>
      </c>
      <c r="H9" s="25">
        <v>44321.463182870371</v>
      </c>
      <c r="I9" s="27" t="s">
        <v>47</v>
      </c>
      <c r="J9" s="27">
        <v>44327.392361111109</v>
      </c>
      <c r="K9" s="25">
        <v>44327.42083333333</v>
      </c>
      <c r="L9" s="8">
        <v>49.006208000000001</v>
      </c>
      <c r="M9" s="8">
        <v>-14.862282</v>
      </c>
      <c r="N9" s="8"/>
      <c r="O9" s="8"/>
      <c r="P9" s="28" t="s">
        <v>47</v>
      </c>
      <c r="Q9" s="28" t="s">
        <v>47</v>
      </c>
      <c r="R9" s="8">
        <v>48.885728999999998</v>
      </c>
      <c r="S9" s="8">
        <v>-15.118988999999999</v>
      </c>
      <c r="T9" s="42" t="s">
        <v>39</v>
      </c>
      <c r="U9" s="39">
        <v>13.121766633118947</v>
      </c>
      <c r="V9" s="39">
        <v>0.47753058862018133</v>
      </c>
      <c r="W9" s="37">
        <v>0.75163932761629793</v>
      </c>
      <c r="X9" s="37">
        <v>2.3821214709506901E-2</v>
      </c>
      <c r="Y9" s="39">
        <v>12.370127305502649</v>
      </c>
      <c r="Z9" s="39">
        <v>0.47812437015715198</v>
      </c>
      <c r="AA9" s="39">
        <v>1.8431769353040779</v>
      </c>
      <c r="AB9" s="39">
        <v>5.8733536601295148E-2</v>
      </c>
      <c r="AC9" s="38">
        <v>1.116964514290939</v>
      </c>
      <c r="AD9" s="38">
        <v>2.7207347914877476E-3</v>
      </c>
      <c r="AE9" s="40">
        <v>431.46994914288774</v>
      </c>
      <c r="AF9" s="40">
        <v>4.4130890707494048</v>
      </c>
      <c r="AG9" s="40">
        <v>974.15740397059278</v>
      </c>
      <c r="AH9" s="40">
        <v>2.2246293683018341</v>
      </c>
      <c r="AI9" s="36">
        <v>3</v>
      </c>
      <c r="AJ9" s="32" t="s">
        <v>48</v>
      </c>
    </row>
    <row r="10" spans="1:36" ht="16" x14ac:dyDescent="0.2">
      <c r="A10" s="35">
        <v>1</v>
      </c>
      <c r="B10" s="35">
        <v>2</v>
      </c>
      <c r="C10" s="26" t="s">
        <v>45</v>
      </c>
      <c r="D10" s="8">
        <v>75</v>
      </c>
      <c r="E10" s="41">
        <v>75</v>
      </c>
      <c r="F10" s="35">
        <v>0</v>
      </c>
      <c r="G10" s="26" t="s">
        <v>46</v>
      </c>
      <c r="H10" s="25">
        <v>44321.463182870371</v>
      </c>
      <c r="I10" s="27" t="s">
        <v>47</v>
      </c>
      <c r="J10" s="27">
        <v>44327.392361111109</v>
      </c>
      <c r="K10" s="25">
        <v>44327.42083333333</v>
      </c>
      <c r="L10" s="8">
        <v>49.006208000000001</v>
      </c>
      <c r="M10" s="8">
        <v>-14.862282</v>
      </c>
      <c r="N10" s="8"/>
      <c r="O10" s="8"/>
      <c r="P10" s="28" t="s">
        <v>47</v>
      </c>
      <c r="Q10" s="28" t="s">
        <v>47</v>
      </c>
      <c r="R10" s="8">
        <v>48.885728999999998</v>
      </c>
      <c r="S10" s="8">
        <v>-15.118988999999999</v>
      </c>
      <c r="T10" s="42" t="s">
        <v>40</v>
      </c>
      <c r="U10" s="39">
        <v>11.925942458308317</v>
      </c>
      <c r="V10" s="39">
        <v>0.46681773577560343</v>
      </c>
      <c r="W10" s="37">
        <v>0.7293971553959403</v>
      </c>
      <c r="X10" s="37">
        <v>8.7543058788932399E-3</v>
      </c>
      <c r="Y10" s="39">
        <v>11.1965453029124</v>
      </c>
      <c r="Z10" s="39">
        <v>0.46689981399234065</v>
      </c>
      <c r="AA10" s="39">
        <v>2.0630767786083029</v>
      </c>
      <c r="AB10" s="39">
        <v>5.9505948860806401E-2</v>
      </c>
      <c r="AC10" s="38">
        <v>1.1022277479637144</v>
      </c>
      <c r="AD10" s="38">
        <v>2.72745869569508E-3</v>
      </c>
      <c r="AE10" s="40">
        <v>450.12696472303907</v>
      </c>
      <c r="AF10" s="40">
        <v>4.4223629876797546</v>
      </c>
      <c r="AG10" s="40">
        <v>891.47992426167957</v>
      </c>
      <c r="AH10" s="40">
        <v>2.2681233295003675</v>
      </c>
      <c r="AI10" s="36">
        <v>3</v>
      </c>
      <c r="AJ10" s="32" t="s">
        <v>48</v>
      </c>
    </row>
    <row r="11" spans="1:36" ht="16" x14ac:dyDescent="0.2">
      <c r="A11" s="35">
        <v>1</v>
      </c>
      <c r="B11" s="35">
        <v>2</v>
      </c>
      <c r="C11" s="26" t="s">
        <v>49</v>
      </c>
      <c r="D11" s="8">
        <v>125</v>
      </c>
      <c r="E11" s="41">
        <v>125</v>
      </c>
      <c r="F11" s="35">
        <v>0</v>
      </c>
      <c r="G11" s="26" t="s">
        <v>46</v>
      </c>
      <c r="H11" s="25">
        <v>44321.463182870371</v>
      </c>
      <c r="I11" s="25">
        <v>44323.78125</v>
      </c>
      <c r="J11" s="27">
        <v>44327.397222222222</v>
      </c>
      <c r="K11" s="25">
        <v>44327.42083333333</v>
      </c>
      <c r="L11" s="8">
        <v>49.006208000000001</v>
      </c>
      <c r="M11" s="8">
        <v>-14.862282</v>
      </c>
      <c r="N11" s="8"/>
      <c r="O11" s="8"/>
      <c r="P11" s="28" t="s">
        <v>47</v>
      </c>
      <c r="Q11" s="28" t="s">
        <v>47</v>
      </c>
      <c r="R11" s="8">
        <v>48.885728999999998</v>
      </c>
      <c r="S11" s="8">
        <v>-15.118988999999999</v>
      </c>
      <c r="T11" s="42" t="s">
        <v>38</v>
      </c>
      <c r="U11" s="39">
        <v>5.7822670582474691</v>
      </c>
      <c r="V11" s="39">
        <v>1.0397167598470798</v>
      </c>
      <c r="W11" s="37">
        <v>1.0009196176831301</v>
      </c>
      <c r="X11" s="37">
        <v>2.6871265626660919E-2</v>
      </c>
      <c r="Y11" s="39">
        <v>4.781347440564339</v>
      </c>
      <c r="Z11" s="39">
        <v>1.040063943045469</v>
      </c>
      <c r="AA11" s="39">
        <v>0.60522952507926187</v>
      </c>
      <c r="AB11" s="39">
        <v>0.16021699347519919</v>
      </c>
      <c r="AC11" s="38">
        <v>0.81426893495823616</v>
      </c>
      <c r="AD11" s="38">
        <v>7.2592072212664142E-3</v>
      </c>
      <c r="AE11" s="40">
        <v>267.43290636949234</v>
      </c>
      <c r="AF11" s="40">
        <v>11.291958094789498</v>
      </c>
      <c r="AG11" s="40">
        <v>1095.4695091030239</v>
      </c>
      <c r="AH11" s="40">
        <v>8.1976553806451449</v>
      </c>
      <c r="AI11" s="36">
        <v>0</v>
      </c>
      <c r="AJ11" s="32" t="s">
        <v>50</v>
      </c>
    </row>
    <row r="12" spans="1:36" ht="16" x14ac:dyDescent="0.2">
      <c r="A12" s="35">
        <v>1</v>
      </c>
      <c r="B12" s="35">
        <v>2</v>
      </c>
      <c r="C12" s="26" t="s">
        <v>49</v>
      </c>
      <c r="D12" s="8">
        <v>125</v>
      </c>
      <c r="E12" s="41">
        <v>125</v>
      </c>
      <c r="F12" s="35">
        <v>0</v>
      </c>
      <c r="G12" s="26" t="s">
        <v>46</v>
      </c>
      <c r="H12" s="25">
        <v>44321.463182870371</v>
      </c>
      <c r="I12" s="25">
        <v>44323.78125</v>
      </c>
      <c r="J12" s="27">
        <v>44327.397222222222</v>
      </c>
      <c r="K12" s="25">
        <v>44327.42083333333</v>
      </c>
      <c r="L12" s="8">
        <v>49.006208000000001</v>
      </c>
      <c r="M12" s="8">
        <v>-14.862282</v>
      </c>
      <c r="N12" s="8"/>
      <c r="O12" s="8"/>
      <c r="P12" s="28" t="s">
        <v>47</v>
      </c>
      <c r="Q12" s="28" t="s">
        <v>47</v>
      </c>
      <c r="R12" s="8">
        <v>48.885728999999998</v>
      </c>
      <c r="S12" s="8">
        <v>-15.118988999999999</v>
      </c>
      <c r="T12" s="42" t="s">
        <v>39</v>
      </c>
      <c r="U12" s="39">
        <v>5.6790931238403353</v>
      </c>
      <c r="V12" s="39">
        <v>1.2258759584655885</v>
      </c>
      <c r="W12" s="37">
        <v>0.90654813131751533</v>
      </c>
      <c r="X12" s="37">
        <v>5.8339584937487685E-2</v>
      </c>
      <c r="Y12" s="39">
        <v>4.7725449925228203</v>
      </c>
      <c r="Z12" s="39">
        <v>1.2272633672992133</v>
      </c>
      <c r="AA12" s="39">
        <v>0.6908254554147506</v>
      </c>
      <c r="AB12" s="39">
        <v>0.14751908580757714</v>
      </c>
      <c r="AC12" s="38">
        <v>0.77311826192906175</v>
      </c>
      <c r="AD12" s="38">
        <v>6.6593253009383461E-3</v>
      </c>
      <c r="AE12" s="40">
        <v>248.06523709750286</v>
      </c>
      <c r="AF12" s="40">
        <v>11.44399958544779</v>
      </c>
      <c r="AG12" s="40">
        <v>1272.2970928598729</v>
      </c>
      <c r="AH12" s="40">
        <v>7.0643330453583619</v>
      </c>
      <c r="AI12" s="36">
        <v>0</v>
      </c>
      <c r="AJ12" s="32" t="s">
        <v>50</v>
      </c>
    </row>
    <row r="13" spans="1:36" s="61" customFormat="1" ht="16" x14ac:dyDescent="0.2">
      <c r="A13" s="46">
        <v>1</v>
      </c>
      <c r="B13" s="46">
        <v>2</v>
      </c>
      <c r="C13" s="47" t="s">
        <v>49</v>
      </c>
      <c r="D13" s="48">
        <v>125</v>
      </c>
      <c r="E13" s="49">
        <v>125</v>
      </c>
      <c r="F13" s="46">
        <v>0</v>
      </c>
      <c r="G13" s="47" t="s">
        <v>46</v>
      </c>
      <c r="H13" s="50">
        <v>44321.463182870371</v>
      </c>
      <c r="I13" s="50">
        <v>44323.78125</v>
      </c>
      <c r="J13" s="51">
        <v>44327.397222222222</v>
      </c>
      <c r="K13" s="50">
        <v>44327.42083333333</v>
      </c>
      <c r="L13" s="48">
        <v>49.006208000000001</v>
      </c>
      <c r="M13" s="48">
        <v>-14.862282</v>
      </c>
      <c r="N13" s="48"/>
      <c r="O13" s="48"/>
      <c r="P13" s="52" t="s">
        <v>47</v>
      </c>
      <c r="Q13" s="52" t="s">
        <v>47</v>
      </c>
      <c r="R13" s="48">
        <v>48.885728999999998</v>
      </c>
      <c r="S13" s="48">
        <v>-15.118988999999999</v>
      </c>
      <c r="T13" s="53" t="s">
        <v>40</v>
      </c>
      <c r="U13" s="54">
        <v>5.9610241467370715</v>
      </c>
      <c r="V13" s="54">
        <v>1.0701547164868228</v>
      </c>
      <c r="W13" s="55">
        <v>0.33546609404663846</v>
      </c>
      <c r="X13" s="55">
        <v>1.8649973490695665E-2</v>
      </c>
      <c r="Y13" s="56">
        <v>5.6255580526904332</v>
      </c>
      <c r="Z13" s="56">
        <v>1.0703172140679584</v>
      </c>
      <c r="AA13" s="56">
        <v>1.2926787504743893</v>
      </c>
      <c r="AB13" s="56">
        <v>0.14688646249994042</v>
      </c>
      <c r="AC13" s="57">
        <v>0.83003922586953682</v>
      </c>
      <c r="AD13" s="57">
        <v>6.7086814863210617E-3</v>
      </c>
      <c r="AE13" s="58">
        <v>354.32089053465546</v>
      </c>
      <c r="AF13" s="58">
        <v>11.426081357435045</v>
      </c>
      <c r="AG13" s="58">
        <v>1192.8708048248134</v>
      </c>
      <c r="AH13" s="58">
        <v>6.3392653897239102</v>
      </c>
      <c r="AI13" s="59">
        <v>0</v>
      </c>
      <c r="AJ13" s="60" t="s">
        <v>50</v>
      </c>
    </row>
    <row r="14" spans="1:36" ht="16" x14ac:dyDescent="0.2">
      <c r="A14" s="35">
        <v>1</v>
      </c>
      <c r="B14" s="35">
        <v>2</v>
      </c>
      <c r="C14" s="26" t="s">
        <v>51</v>
      </c>
      <c r="D14" s="8">
        <v>175</v>
      </c>
      <c r="E14" s="41">
        <v>175</v>
      </c>
      <c r="F14" s="35">
        <v>0</v>
      </c>
      <c r="G14" s="26" t="s">
        <v>46</v>
      </c>
      <c r="H14" s="25">
        <v>44321.463182870371</v>
      </c>
      <c r="I14" s="25">
        <v>44323.78125</v>
      </c>
      <c r="J14" s="27">
        <v>44327.40347222222</v>
      </c>
      <c r="K14" s="25">
        <v>44327.42083333333</v>
      </c>
      <c r="L14" s="8">
        <v>49.006208000000001</v>
      </c>
      <c r="M14" s="8">
        <v>-14.862282</v>
      </c>
      <c r="N14" s="8"/>
      <c r="O14" s="8"/>
      <c r="P14" s="28" t="s">
        <v>47</v>
      </c>
      <c r="Q14" s="28" t="s">
        <v>47</v>
      </c>
      <c r="R14" s="8">
        <v>48.885728999999998</v>
      </c>
      <c r="S14" s="8">
        <v>-15.118988999999999</v>
      </c>
      <c r="T14" s="42" t="s">
        <v>38</v>
      </c>
      <c r="U14" s="39">
        <v>3.3591211838536763</v>
      </c>
      <c r="V14" s="39">
        <v>1.0364422197913392</v>
      </c>
      <c r="W14" s="37">
        <v>0.70492884940846989</v>
      </c>
      <c r="X14" s="37">
        <v>2.2147528946502289E-2</v>
      </c>
      <c r="Y14" s="39">
        <v>2.6541923344452063</v>
      </c>
      <c r="Z14" s="39">
        <v>1.0366788258686654</v>
      </c>
      <c r="AA14" s="39">
        <v>0.20097536254356832</v>
      </c>
      <c r="AB14" s="39">
        <v>0.16091697075407035</v>
      </c>
      <c r="AC14" s="38">
        <v>0.56433294095372888</v>
      </c>
      <c r="AD14" s="38">
        <v>7.2197932554801296E-3</v>
      </c>
      <c r="AE14" s="40">
        <v>183.03251275302486</v>
      </c>
      <c r="AF14" s="40">
        <v>11.250828081761817</v>
      </c>
      <c r="AG14" s="40">
        <v>915.82353561952289</v>
      </c>
      <c r="AH14" s="40">
        <v>7.2202685102107544</v>
      </c>
      <c r="AI14" s="36">
        <v>0</v>
      </c>
      <c r="AJ14" s="32" t="s">
        <v>50</v>
      </c>
    </row>
    <row r="15" spans="1:36" ht="16" x14ac:dyDescent="0.2">
      <c r="A15" s="35">
        <v>1</v>
      </c>
      <c r="B15" s="35">
        <v>2</v>
      </c>
      <c r="C15" s="26" t="s">
        <v>51</v>
      </c>
      <c r="D15" s="8">
        <v>175</v>
      </c>
      <c r="E15" s="41">
        <v>175</v>
      </c>
      <c r="F15" s="35">
        <v>0</v>
      </c>
      <c r="G15" s="26" t="s">
        <v>46</v>
      </c>
      <c r="H15" s="25">
        <v>44321.463182870371</v>
      </c>
      <c r="I15" s="25">
        <v>44323.78125</v>
      </c>
      <c r="J15" s="27">
        <v>44327.40347222222</v>
      </c>
      <c r="K15" s="25">
        <v>44327.42083333333</v>
      </c>
      <c r="L15" s="8">
        <v>49.006208000000001</v>
      </c>
      <c r="M15" s="8">
        <v>-14.862282</v>
      </c>
      <c r="N15" s="8"/>
      <c r="O15" s="8"/>
      <c r="P15" s="28" t="s">
        <v>47</v>
      </c>
      <c r="Q15" s="28" t="s">
        <v>47</v>
      </c>
      <c r="R15" s="8">
        <v>48.885728999999998</v>
      </c>
      <c r="S15" s="8">
        <v>-15.118988999999999</v>
      </c>
      <c r="T15" s="42" t="s">
        <v>39</v>
      </c>
      <c r="U15" s="39">
        <v>4.5704566413827781</v>
      </c>
      <c r="V15" s="39">
        <v>1.2091275038695821</v>
      </c>
      <c r="W15" s="37">
        <v>0.20832823811773765</v>
      </c>
      <c r="X15" s="37">
        <v>4.8485106781913145E-2</v>
      </c>
      <c r="Y15" s="39">
        <v>4.3621284032650403</v>
      </c>
      <c r="Z15" s="39">
        <v>1.210099221631656</v>
      </c>
      <c r="AA15" s="39">
        <v>1.6410975248841018</v>
      </c>
      <c r="AB15" s="39">
        <v>0.14788026682427827</v>
      </c>
      <c r="AC15" s="38">
        <v>0.540197026684335</v>
      </c>
      <c r="AD15" s="38">
        <v>6.6078160727402165E-3</v>
      </c>
      <c r="AE15" s="40">
        <v>167.06624280272166</v>
      </c>
      <c r="AF15" s="40">
        <v>11.260187703662268</v>
      </c>
      <c r="AG15" s="40">
        <v>883.95643336280466</v>
      </c>
      <c r="AH15" s="40">
        <v>7.3650274755286436</v>
      </c>
      <c r="AI15" s="36">
        <v>0</v>
      </c>
      <c r="AJ15" s="32" t="s">
        <v>50</v>
      </c>
    </row>
    <row r="16" spans="1:36" ht="16" x14ac:dyDescent="0.2">
      <c r="A16" s="35">
        <v>1</v>
      </c>
      <c r="B16" s="35">
        <v>2</v>
      </c>
      <c r="C16" s="26" t="s">
        <v>51</v>
      </c>
      <c r="D16" s="8">
        <v>175</v>
      </c>
      <c r="E16" s="41">
        <v>175</v>
      </c>
      <c r="F16" s="35">
        <v>0</v>
      </c>
      <c r="G16" s="26" t="s">
        <v>46</v>
      </c>
      <c r="H16" s="25">
        <v>44321.463182870371</v>
      </c>
      <c r="I16" s="25">
        <v>44323.78125</v>
      </c>
      <c r="J16" s="27">
        <v>44327.40347222222</v>
      </c>
      <c r="K16" s="25">
        <v>44327.42083333333</v>
      </c>
      <c r="L16" s="8">
        <v>49.006208000000001</v>
      </c>
      <c r="M16" s="8">
        <v>-14.862282</v>
      </c>
      <c r="N16" s="8"/>
      <c r="O16" s="8"/>
      <c r="P16" s="28" t="s">
        <v>47</v>
      </c>
      <c r="Q16" s="28" t="s">
        <v>47</v>
      </c>
      <c r="R16" s="8">
        <v>48.885728999999998</v>
      </c>
      <c r="S16" s="8">
        <v>-15.118988999999999</v>
      </c>
      <c r="T16" s="42" t="s">
        <v>40</v>
      </c>
      <c r="U16" s="39">
        <v>4.362647549367547</v>
      </c>
      <c r="V16" s="39">
        <v>1.2057465494012105</v>
      </c>
      <c r="W16" s="37">
        <v>0.16972186205145667</v>
      </c>
      <c r="X16" s="37">
        <v>1.8076230748942983E-2</v>
      </c>
      <c r="Y16" s="39">
        <v>4.1929256873160901</v>
      </c>
      <c r="Z16" s="39">
        <v>1.2058820388043827</v>
      </c>
      <c r="AA16" s="39">
        <v>0.62952849139211164</v>
      </c>
      <c r="AB16" s="39">
        <v>0.14744824783095051</v>
      </c>
      <c r="AC16" s="38">
        <v>0.51018126080879411</v>
      </c>
      <c r="AD16" s="38">
        <v>6.635764801957475E-3</v>
      </c>
      <c r="AE16" s="40">
        <v>187.37310442472892</v>
      </c>
      <c r="AF16" s="40">
        <v>12.26082242829542</v>
      </c>
      <c r="AG16" s="40">
        <v>917.28680296512027</v>
      </c>
      <c r="AH16" s="40">
        <v>7.2066771544389479</v>
      </c>
      <c r="AI16" s="36">
        <v>0</v>
      </c>
      <c r="AJ16" s="32" t="s">
        <v>50</v>
      </c>
    </row>
    <row r="17" spans="1:36" ht="16" x14ac:dyDescent="0.2">
      <c r="A17" s="35">
        <v>1</v>
      </c>
      <c r="B17" s="35">
        <v>2</v>
      </c>
      <c r="C17" s="26" t="s">
        <v>52</v>
      </c>
      <c r="D17" s="8">
        <v>330</v>
      </c>
      <c r="E17" s="41">
        <v>330</v>
      </c>
      <c r="F17" s="35">
        <v>0</v>
      </c>
      <c r="G17" s="26" t="s">
        <v>46</v>
      </c>
      <c r="H17" s="25">
        <v>44321.463182870371</v>
      </c>
      <c r="I17" s="25">
        <v>44323.78125</v>
      </c>
      <c r="J17" s="27">
        <v>44327.413194444445</v>
      </c>
      <c r="K17" s="25">
        <v>44327.42083333333</v>
      </c>
      <c r="L17" s="8">
        <v>49.006208000000001</v>
      </c>
      <c r="M17" s="8">
        <v>-14.862282</v>
      </c>
      <c r="N17" s="8"/>
      <c r="O17" s="8"/>
      <c r="P17" s="28" t="s">
        <v>47</v>
      </c>
      <c r="Q17" s="28" t="s">
        <v>47</v>
      </c>
      <c r="R17" s="8">
        <v>48.885728999999998</v>
      </c>
      <c r="S17" s="8">
        <v>-15.118988999999999</v>
      </c>
      <c r="T17" s="42" t="s">
        <v>38</v>
      </c>
      <c r="U17" s="39">
        <v>2.1276417474117419</v>
      </c>
      <c r="V17" s="39">
        <v>1.030576183791823</v>
      </c>
      <c r="W17" s="37">
        <v>0.63276357105192438</v>
      </c>
      <c r="X17" s="37">
        <v>2.0662554297514377E-2</v>
      </c>
      <c r="Y17" s="39">
        <v>1.4948781763598176</v>
      </c>
      <c r="Z17" s="39">
        <v>1.0307833000922237</v>
      </c>
      <c r="AA17" s="39">
        <v>9.4173760672056989E-2</v>
      </c>
      <c r="AB17" s="39">
        <v>0.15644639507119384</v>
      </c>
      <c r="AC17" s="38">
        <v>0.45547588343677209</v>
      </c>
      <c r="AD17" s="38">
        <v>6.6016662418846572E-3</v>
      </c>
      <c r="AE17" s="40">
        <v>140.97192561844244</v>
      </c>
      <c r="AF17" s="40">
        <v>11.258127537514916</v>
      </c>
      <c r="AG17" s="40">
        <v>719.31796719063175</v>
      </c>
      <c r="AH17" s="40">
        <v>8.6616997845015415</v>
      </c>
      <c r="AI17" s="36">
        <v>0</v>
      </c>
      <c r="AJ17" s="32" t="s">
        <v>50</v>
      </c>
    </row>
    <row r="18" spans="1:36" ht="16" x14ac:dyDescent="0.2">
      <c r="A18" s="35">
        <v>1</v>
      </c>
      <c r="B18" s="35">
        <v>2</v>
      </c>
      <c r="C18" s="26" t="s">
        <v>52</v>
      </c>
      <c r="D18" s="8">
        <v>330</v>
      </c>
      <c r="E18" s="41">
        <v>330</v>
      </c>
      <c r="F18" s="35">
        <v>0</v>
      </c>
      <c r="G18" s="26" t="s">
        <v>46</v>
      </c>
      <c r="H18" s="25">
        <v>44321.463182870371</v>
      </c>
      <c r="I18" s="25">
        <v>44323.78125</v>
      </c>
      <c r="J18" s="27">
        <v>44327.413194444445</v>
      </c>
      <c r="K18" s="25">
        <v>44327.42083333333</v>
      </c>
      <c r="L18" s="8">
        <v>49.006208000000001</v>
      </c>
      <c r="M18" s="8">
        <v>-14.862282</v>
      </c>
      <c r="N18" s="8"/>
      <c r="O18" s="8"/>
      <c r="P18" s="28" t="s">
        <v>47</v>
      </c>
      <c r="Q18" s="28" t="s">
        <v>47</v>
      </c>
      <c r="R18" s="8">
        <v>48.885728999999998</v>
      </c>
      <c r="S18" s="8">
        <v>-15.118988999999999</v>
      </c>
      <c r="T18" s="42" t="s">
        <v>39</v>
      </c>
      <c r="U18" s="39">
        <v>4.0419380468049226</v>
      </c>
      <c r="V18" s="39">
        <v>1.2132125930712683</v>
      </c>
      <c r="W18" s="37">
        <v>0.33051155054764914</v>
      </c>
      <c r="X18" s="37">
        <v>4.7828979335042356E-2</v>
      </c>
      <c r="Y18" s="39">
        <v>3.7114264962572734</v>
      </c>
      <c r="Z18" s="39">
        <v>1.2141550178008336</v>
      </c>
      <c r="AA18" s="39">
        <v>0.55597152395637373</v>
      </c>
      <c r="AB18" s="39">
        <v>0.1473798918902853</v>
      </c>
      <c r="AC18" s="38">
        <v>0.4721843982725501</v>
      </c>
      <c r="AD18" s="38">
        <v>6.6235696716157554E-3</v>
      </c>
      <c r="AE18" s="40">
        <v>156.93819556874564</v>
      </c>
      <c r="AF18" s="40">
        <v>11.256324582830793</v>
      </c>
      <c r="AG18" s="40">
        <v>744.94476718106421</v>
      </c>
      <c r="AH18" s="40">
        <v>7.6335636892988745</v>
      </c>
      <c r="AI18" s="36">
        <v>0</v>
      </c>
      <c r="AJ18" s="32" t="s">
        <v>50</v>
      </c>
    </row>
    <row r="19" spans="1:36" ht="16" x14ac:dyDescent="0.2">
      <c r="A19" s="35">
        <v>1</v>
      </c>
      <c r="B19" s="35">
        <v>2</v>
      </c>
      <c r="C19" s="26" t="s">
        <v>52</v>
      </c>
      <c r="D19" s="8">
        <v>330</v>
      </c>
      <c r="E19" s="41">
        <v>330</v>
      </c>
      <c r="F19" s="35">
        <v>0</v>
      </c>
      <c r="G19" s="26" t="s">
        <v>46</v>
      </c>
      <c r="H19" s="25">
        <v>44321.463182870371</v>
      </c>
      <c r="I19" s="25">
        <v>44323.78125</v>
      </c>
      <c r="J19" s="27">
        <v>44327.413194444445</v>
      </c>
      <c r="K19" s="25">
        <v>44327.42083333333</v>
      </c>
      <c r="L19" s="8">
        <v>49.006208000000001</v>
      </c>
      <c r="M19" s="8">
        <v>-14.862282</v>
      </c>
      <c r="N19" s="8"/>
      <c r="O19" s="8"/>
      <c r="P19" s="28" t="s">
        <v>47</v>
      </c>
      <c r="Q19" s="28" t="s">
        <v>47</v>
      </c>
      <c r="R19" s="8">
        <v>48.885728999999998</v>
      </c>
      <c r="S19" s="8">
        <v>-15.118988999999999</v>
      </c>
      <c r="T19" s="42" t="s">
        <v>40</v>
      </c>
      <c r="U19" s="39">
        <v>1.5110119058459832</v>
      </c>
      <c r="V19" s="39">
        <v>1.2023201125556486</v>
      </c>
      <c r="W19" s="37">
        <v>0.34226903941189363</v>
      </c>
      <c r="X19" s="37">
        <v>1.8727208675131501E-2</v>
      </c>
      <c r="Y19" s="39">
        <v>1.1687428664340895</v>
      </c>
      <c r="Z19" s="39">
        <v>1.2024659502042416</v>
      </c>
      <c r="AA19" s="39">
        <v>-6.5728921715854094E-2</v>
      </c>
      <c r="AB19" s="39">
        <v>0.14721661667358321</v>
      </c>
      <c r="AC19" s="38">
        <v>0.45112709128520856</v>
      </c>
      <c r="AD19" s="38">
        <v>6.6095658925282774E-3</v>
      </c>
      <c r="AE19" s="40">
        <v>138.66202010893915</v>
      </c>
      <c r="AF19" s="40">
        <v>11.256324582830796</v>
      </c>
      <c r="AG19" s="40">
        <v>719.73766898182339</v>
      </c>
      <c r="AH19" s="40">
        <v>7.8582687358546632</v>
      </c>
      <c r="AI19" s="36">
        <v>0</v>
      </c>
      <c r="AJ19" s="32" t="s">
        <v>50</v>
      </c>
    </row>
    <row r="20" spans="1:36" ht="32" x14ac:dyDescent="0.2">
      <c r="A20" s="35">
        <v>1</v>
      </c>
      <c r="B20" s="35">
        <v>2</v>
      </c>
      <c r="C20" s="26" t="s">
        <v>53</v>
      </c>
      <c r="D20" s="8">
        <v>500</v>
      </c>
      <c r="E20" s="41">
        <v>500</v>
      </c>
      <c r="F20" s="35">
        <v>0</v>
      </c>
      <c r="G20" s="26" t="s">
        <v>46</v>
      </c>
      <c r="H20" s="25">
        <v>44321.463182870371</v>
      </c>
      <c r="I20" s="25">
        <v>44323.78125</v>
      </c>
      <c r="J20" s="27">
        <v>44327.42083333333</v>
      </c>
      <c r="K20" s="25">
        <v>44327.42083333333</v>
      </c>
      <c r="L20" s="8">
        <v>49.006208000000001</v>
      </c>
      <c r="M20" s="8">
        <v>-14.862282</v>
      </c>
      <c r="N20" s="8"/>
      <c r="O20" s="8"/>
      <c r="P20" s="28" t="s">
        <v>47</v>
      </c>
      <c r="Q20" s="28" t="s">
        <v>47</v>
      </c>
      <c r="R20" s="8">
        <v>48.885728999999998</v>
      </c>
      <c r="S20" s="8">
        <v>-15.118988999999999</v>
      </c>
      <c r="T20" s="42" t="s">
        <v>38</v>
      </c>
      <c r="U20" s="39">
        <v>0.99846933337495047</v>
      </c>
      <c r="V20" s="39">
        <v>1.0304006008410631</v>
      </c>
      <c r="W20" s="37">
        <v>0.50960678415131155</v>
      </c>
      <c r="X20" s="37">
        <v>1.9646483567512231E-2</v>
      </c>
      <c r="Y20" s="39">
        <v>0.48886254922363892</v>
      </c>
      <c r="Z20" s="39">
        <v>1.0305878820023999</v>
      </c>
      <c r="AA20" s="39">
        <v>-9.2230832219444073E-2</v>
      </c>
      <c r="AB20" s="39">
        <v>0.1569050851292417</v>
      </c>
      <c r="AC20" s="38">
        <v>0.23647863617564199</v>
      </c>
      <c r="AD20" s="38">
        <v>7.2075961318841808E-3</v>
      </c>
      <c r="AE20" s="40">
        <v>42.839016830092582</v>
      </c>
      <c r="AF20" s="40">
        <v>11.246446134224154</v>
      </c>
      <c r="AG20" s="40">
        <v>478.95738896266573</v>
      </c>
      <c r="AH20" s="40">
        <v>10.545160963475777</v>
      </c>
      <c r="AI20" s="36">
        <v>0</v>
      </c>
      <c r="AJ20" s="32" t="s">
        <v>54</v>
      </c>
    </row>
    <row r="21" spans="1:36" ht="32" x14ac:dyDescent="0.2">
      <c r="A21" s="35">
        <v>1</v>
      </c>
      <c r="B21" s="35">
        <v>2</v>
      </c>
      <c r="C21" s="26" t="s">
        <v>53</v>
      </c>
      <c r="D21" s="8">
        <v>500</v>
      </c>
      <c r="E21" s="41">
        <v>500</v>
      </c>
      <c r="F21" s="35">
        <v>0</v>
      </c>
      <c r="G21" s="26" t="s">
        <v>46</v>
      </c>
      <c r="H21" s="25">
        <v>44321.463182870371</v>
      </c>
      <c r="I21" s="25">
        <v>44323.78125</v>
      </c>
      <c r="J21" s="27">
        <v>44327.42083333333</v>
      </c>
      <c r="K21" s="25">
        <v>44327.42083333333</v>
      </c>
      <c r="L21" s="8">
        <v>49.006208000000001</v>
      </c>
      <c r="M21" s="8">
        <v>-14.862282</v>
      </c>
      <c r="N21" s="8"/>
      <c r="O21" s="8"/>
      <c r="P21" s="28" t="s">
        <v>47</v>
      </c>
      <c r="Q21" s="28" t="s">
        <v>47</v>
      </c>
      <c r="R21" s="8">
        <v>48.885728999999998</v>
      </c>
      <c r="S21" s="8">
        <v>-15.118988999999999</v>
      </c>
      <c r="T21" s="42" t="s">
        <v>39</v>
      </c>
      <c r="U21" s="39">
        <v>2.8529242801192614</v>
      </c>
      <c r="V21" s="39">
        <v>1.1941263206182104</v>
      </c>
      <c r="W21" s="37">
        <v>7.7071776258201455E-2</v>
      </c>
      <c r="X21" s="37">
        <v>5.0358659080810726E-2</v>
      </c>
      <c r="Y21" s="39">
        <v>2.77585250386106</v>
      </c>
      <c r="Z21" s="39">
        <v>1.1951877108377589</v>
      </c>
      <c r="AA21" s="39">
        <v>0.43683985178840312</v>
      </c>
      <c r="AB21" s="39">
        <v>0.14726125473974108</v>
      </c>
      <c r="AC21" s="38">
        <v>0.24459290788514673</v>
      </c>
      <c r="AD21" s="38">
        <v>6.5590022601715618E-3</v>
      </c>
      <c r="AE21" s="40">
        <v>55.886175422232327</v>
      </c>
      <c r="AF21" s="40">
        <v>11.256066994301186</v>
      </c>
      <c r="AG21" s="40">
        <v>388.43400882403029</v>
      </c>
      <c r="AH21" s="40">
        <v>12.695823855728452</v>
      </c>
      <c r="AI21" s="36">
        <v>0</v>
      </c>
      <c r="AJ21" s="32" t="s">
        <v>54</v>
      </c>
    </row>
    <row r="22" spans="1:36" ht="32" x14ac:dyDescent="0.2">
      <c r="A22" s="35">
        <v>1</v>
      </c>
      <c r="B22" s="35">
        <v>2</v>
      </c>
      <c r="C22" s="26" t="s">
        <v>53</v>
      </c>
      <c r="D22" s="8">
        <v>500</v>
      </c>
      <c r="E22" s="41">
        <v>500</v>
      </c>
      <c r="F22" s="35">
        <v>0</v>
      </c>
      <c r="G22" s="26" t="s">
        <v>46</v>
      </c>
      <c r="H22" s="25">
        <v>44321.463182870371</v>
      </c>
      <c r="I22" s="25">
        <v>44323.78125</v>
      </c>
      <c r="J22" s="27">
        <v>44327.42083333333</v>
      </c>
      <c r="K22" s="25">
        <v>44327.42083333333</v>
      </c>
      <c r="L22" s="8">
        <v>49.006208000000001</v>
      </c>
      <c r="M22" s="8">
        <v>-14.862282</v>
      </c>
      <c r="N22" s="8"/>
      <c r="O22" s="8"/>
      <c r="P22" s="28" t="s">
        <v>47</v>
      </c>
      <c r="Q22" s="28" t="s">
        <v>47</v>
      </c>
      <c r="R22" s="8">
        <v>48.885728999999998</v>
      </c>
      <c r="S22" s="8">
        <v>-15.118988999999999</v>
      </c>
      <c r="T22" s="42" t="s">
        <v>40</v>
      </c>
      <c r="U22" s="39">
        <v>4.0378372134272142</v>
      </c>
      <c r="V22" s="39">
        <v>1.1952804110662931</v>
      </c>
      <c r="W22" s="37">
        <v>-1.8161568271064334E-2</v>
      </c>
      <c r="X22" s="37">
        <v>1.7673959678263296E-2</v>
      </c>
      <c r="Y22" s="39">
        <v>4.0559987816982783</v>
      </c>
      <c r="Z22" s="39">
        <v>1.1954110715270776</v>
      </c>
      <c r="AA22" s="39">
        <v>0.47810554539457861</v>
      </c>
      <c r="AB22" s="39">
        <v>0.14731157893152128</v>
      </c>
      <c r="AC22" s="38">
        <v>0.2419628239301293</v>
      </c>
      <c r="AD22" s="38">
        <v>6.5571823963918403E-3</v>
      </c>
      <c r="AE22" s="40">
        <v>87.23489305120583</v>
      </c>
      <c r="AF22" s="40">
        <v>11.24257829158149</v>
      </c>
      <c r="AG22" s="40">
        <v>619.92722851910287</v>
      </c>
      <c r="AH22" s="40">
        <v>8.6046281742523174</v>
      </c>
      <c r="AI22" s="36">
        <v>0</v>
      </c>
      <c r="AJ22" s="32" t="s">
        <v>54</v>
      </c>
    </row>
    <row r="23" spans="1:36" ht="16" x14ac:dyDescent="0.2">
      <c r="A23" s="35">
        <v>2</v>
      </c>
      <c r="B23" s="35">
        <v>2</v>
      </c>
      <c r="C23" s="26" t="s">
        <v>45</v>
      </c>
      <c r="D23" s="8">
        <v>75</v>
      </c>
      <c r="E23" s="41">
        <v>75</v>
      </c>
      <c r="F23" s="35">
        <v>0</v>
      </c>
      <c r="G23" s="26" t="s">
        <v>55</v>
      </c>
      <c r="H23" s="25">
        <v>44328.96601851852</v>
      </c>
      <c r="I23" s="25">
        <v>44331.75</v>
      </c>
      <c r="J23" s="25">
        <v>44332.712500000001</v>
      </c>
      <c r="K23" s="25">
        <v>44332.739583333336</v>
      </c>
      <c r="L23" s="8">
        <v>49.138361000000003</v>
      </c>
      <c r="M23" s="8">
        <v>-14.794922</v>
      </c>
      <c r="N23" s="8"/>
      <c r="O23" s="8"/>
      <c r="P23" s="28" t="s">
        <v>47</v>
      </c>
      <c r="Q23" s="28" t="s">
        <v>47</v>
      </c>
      <c r="R23" s="8">
        <v>48.96311</v>
      </c>
      <c r="S23" s="8">
        <v>-14.815173</v>
      </c>
      <c r="T23" s="42" t="s">
        <v>38</v>
      </c>
      <c r="U23" s="39">
        <v>9.1884032721499658</v>
      </c>
      <c r="V23" s="39">
        <v>0.87870591394565645</v>
      </c>
      <c r="W23" s="37">
        <v>0.79511224671741376</v>
      </c>
      <c r="X23" s="37">
        <v>2.1111168380735561E-2</v>
      </c>
      <c r="Y23" s="39">
        <v>8.3932910254325517</v>
      </c>
      <c r="Z23" s="39">
        <v>0.87895947837967547</v>
      </c>
      <c r="AA23" s="39">
        <v>1.0156127462910296</v>
      </c>
      <c r="AB23" s="39">
        <v>0.13396401761151441</v>
      </c>
      <c r="AC23" s="38">
        <v>2.7091902992953374</v>
      </c>
      <c r="AD23" s="38">
        <v>6.6323141994432452E-3</v>
      </c>
      <c r="AE23" s="40">
        <v>455.25158566902411</v>
      </c>
      <c r="AF23" s="40">
        <v>9.3748767620932512</v>
      </c>
      <c r="AG23" s="40">
        <v>2205.8957543875326</v>
      </c>
      <c r="AH23" s="40">
        <v>2.1267827017176626</v>
      </c>
      <c r="AI23" s="36">
        <v>0</v>
      </c>
      <c r="AJ23" s="32" t="s">
        <v>56</v>
      </c>
    </row>
    <row r="24" spans="1:36" ht="16" x14ac:dyDescent="0.2">
      <c r="A24" s="35">
        <v>2</v>
      </c>
      <c r="B24" s="35">
        <v>2</v>
      </c>
      <c r="C24" s="26" t="s">
        <v>45</v>
      </c>
      <c r="D24" s="8">
        <v>75</v>
      </c>
      <c r="E24" s="41">
        <v>75</v>
      </c>
      <c r="F24" s="35">
        <v>0</v>
      </c>
      <c r="G24" s="26" t="s">
        <v>55</v>
      </c>
      <c r="H24" s="25">
        <v>44328.96601851852</v>
      </c>
      <c r="I24" s="25">
        <v>44331.75</v>
      </c>
      <c r="J24" s="25">
        <v>44332.712500000001</v>
      </c>
      <c r="K24" s="25">
        <v>44332.739583333336</v>
      </c>
      <c r="L24" s="8">
        <v>49.138361000000003</v>
      </c>
      <c r="M24" s="8">
        <v>-14.794922</v>
      </c>
      <c r="N24" s="8"/>
      <c r="O24" s="8"/>
      <c r="P24" s="28" t="s">
        <v>47</v>
      </c>
      <c r="Q24" s="28" t="s">
        <v>47</v>
      </c>
      <c r="R24" s="8">
        <v>48.96311</v>
      </c>
      <c r="S24" s="8">
        <v>-14.815173</v>
      </c>
      <c r="T24" s="42" t="s">
        <v>39</v>
      </c>
      <c r="U24" s="39">
        <v>9.3260822856039525</v>
      </c>
      <c r="V24" s="39">
        <v>0.96764372014533173</v>
      </c>
      <c r="W24" s="37">
        <v>0.98458063609979163</v>
      </c>
      <c r="X24" s="37">
        <v>3.9977522771843722E-2</v>
      </c>
      <c r="Y24" s="39">
        <v>8.3415016495041616</v>
      </c>
      <c r="Z24" s="39">
        <v>0.96846918973381413</v>
      </c>
      <c r="AA24" s="39">
        <v>1.1065157011415279</v>
      </c>
      <c r="AB24" s="39">
        <v>0.12269912197278474</v>
      </c>
      <c r="AC24" s="38">
        <v>2.5188296686995786</v>
      </c>
      <c r="AD24" s="38">
        <v>6.1708030150288548E-3</v>
      </c>
      <c r="AE24" s="40">
        <v>511.13384286159419</v>
      </c>
      <c r="AF24" s="40">
        <v>9.4124446862754034</v>
      </c>
      <c r="AG24" s="40">
        <v>2330.1496103552054</v>
      </c>
      <c r="AH24" s="40">
        <v>2.0697548613739709</v>
      </c>
      <c r="AI24" s="36">
        <v>0</v>
      </c>
      <c r="AJ24" s="32" t="s">
        <v>56</v>
      </c>
    </row>
    <row r="25" spans="1:36" ht="16" x14ac:dyDescent="0.2">
      <c r="A25" s="35">
        <v>2</v>
      </c>
      <c r="B25" s="35">
        <v>2</v>
      </c>
      <c r="C25" s="26" t="s">
        <v>45</v>
      </c>
      <c r="D25" s="8">
        <v>75</v>
      </c>
      <c r="E25" s="41">
        <v>75</v>
      </c>
      <c r="F25" s="35">
        <v>0</v>
      </c>
      <c r="G25" s="26" t="s">
        <v>55</v>
      </c>
      <c r="H25" s="25">
        <v>44328.96601851852</v>
      </c>
      <c r="I25" s="25">
        <v>44331.75</v>
      </c>
      <c r="J25" s="25">
        <v>44332.712500000001</v>
      </c>
      <c r="K25" s="25">
        <v>44332.739583333336</v>
      </c>
      <c r="L25" s="8">
        <v>49.138361000000003</v>
      </c>
      <c r="M25" s="8">
        <v>-14.794922</v>
      </c>
      <c r="N25" s="8"/>
      <c r="O25" s="8"/>
      <c r="P25" s="28" t="s">
        <v>47</v>
      </c>
      <c r="Q25" s="28" t="s">
        <v>47</v>
      </c>
      <c r="R25" s="8">
        <v>48.96311</v>
      </c>
      <c r="S25" s="8">
        <v>-14.815173</v>
      </c>
      <c r="T25" s="42" t="s">
        <v>40</v>
      </c>
      <c r="U25" s="39">
        <v>11.139530484533939</v>
      </c>
      <c r="V25" s="39">
        <v>1.0021752764281866</v>
      </c>
      <c r="W25" s="37">
        <v>1.2611017106695044</v>
      </c>
      <c r="X25" s="37">
        <v>1.705101141747925E-2</v>
      </c>
      <c r="Y25" s="39">
        <v>9.8784287738644352</v>
      </c>
      <c r="Z25" s="39">
        <v>1.0023203188972432</v>
      </c>
      <c r="AA25" s="39">
        <v>1.3208433746714432</v>
      </c>
      <c r="AB25" s="39">
        <v>0.12311896187082719</v>
      </c>
      <c r="AC25" s="38">
        <v>2.2963614976560462</v>
      </c>
      <c r="AD25" s="38">
        <v>6.2099080065844492E-3</v>
      </c>
      <c r="AE25" s="40">
        <v>457.61876146538083</v>
      </c>
      <c r="AF25" s="40">
        <v>9.419940292047805</v>
      </c>
      <c r="AG25" s="40">
        <v>2140.167883580028</v>
      </c>
      <c r="AH25" s="40">
        <v>2.1554526393236357</v>
      </c>
      <c r="AI25" s="36">
        <v>0</v>
      </c>
      <c r="AJ25" s="32" t="s">
        <v>56</v>
      </c>
    </row>
    <row r="26" spans="1:36" ht="16" x14ac:dyDescent="0.2">
      <c r="A26" s="35">
        <v>2</v>
      </c>
      <c r="B26" s="35">
        <v>2</v>
      </c>
      <c r="C26" s="26" t="s">
        <v>49</v>
      </c>
      <c r="D26" s="8">
        <v>125</v>
      </c>
      <c r="E26" s="41">
        <v>125</v>
      </c>
      <c r="F26" s="35">
        <v>0</v>
      </c>
      <c r="G26" s="26" t="s">
        <v>55</v>
      </c>
      <c r="H26" s="25">
        <v>44328.96601851852</v>
      </c>
      <c r="I26" s="25">
        <v>44331.75</v>
      </c>
      <c r="J26" s="25">
        <v>44332.71597222222</v>
      </c>
      <c r="K26" s="25">
        <v>44332.739583333336</v>
      </c>
      <c r="L26" s="8">
        <v>49.138361000000003</v>
      </c>
      <c r="M26" s="8">
        <v>-14.794922</v>
      </c>
      <c r="N26" s="8"/>
      <c r="O26" s="8"/>
      <c r="P26" s="28" t="s">
        <v>47</v>
      </c>
      <c r="Q26" s="28" t="s">
        <v>47</v>
      </c>
      <c r="R26" s="8">
        <v>48.96311</v>
      </c>
      <c r="S26" s="8">
        <v>-14.815173</v>
      </c>
      <c r="T26" s="42" t="s">
        <v>38</v>
      </c>
      <c r="U26" s="39">
        <v>2.8491748382931341</v>
      </c>
      <c r="V26" s="39">
        <v>0.8600755361866772</v>
      </c>
      <c r="W26" s="37">
        <v>0.65004651851892115</v>
      </c>
      <c r="X26" s="37">
        <v>2.0113549655578784E-2</v>
      </c>
      <c r="Y26" s="39">
        <v>2.1991283197742129</v>
      </c>
      <c r="Z26" s="39">
        <v>0.86031068970840274</v>
      </c>
      <c r="AA26" s="39">
        <v>0.25553858507866384</v>
      </c>
      <c r="AB26" s="39">
        <v>0.13078505812747548</v>
      </c>
      <c r="AC26" s="38">
        <v>1.5125133428614803</v>
      </c>
      <c r="AD26" s="38">
        <v>6.2998072555740491E-3</v>
      </c>
      <c r="AE26" s="40">
        <v>285.19536729859266</v>
      </c>
      <c r="AF26" s="40">
        <v>9.3637201132781129</v>
      </c>
      <c r="AG26" s="40">
        <v>957.26325376177829</v>
      </c>
      <c r="AH26" s="40">
        <v>4.2612295700053684</v>
      </c>
      <c r="AI26" s="36">
        <v>0</v>
      </c>
      <c r="AJ26" s="32" t="s">
        <v>56</v>
      </c>
    </row>
    <row r="27" spans="1:36" ht="16" x14ac:dyDescent="0.2">
      <c r="A27" s="35">
        <v>2</v>
      </c>
      <c r="B27" s="35">
        <v>2</v>
      </c>
      <c r="C27" s="26" t="s">
        <v>49</v>
      </c>
      <c r="D27" s="8">
        <v>125</v>
      </c>
      <c r="E27" s="41">
        <v>125</v>
      </c>
      <c r="F27" s="35">
        <v>0</v>
      </c>
      <c r="G27" s="26" t="s">
        <v>55</v>
      </c>
      <c r="H27" s="25">
        <v>44328.96601851852</v>
      </c>
      <c r="I27" s="25">
        <v>44331.75</v>
      </c>
      <c r="J27" s="25">
        <v>44332.71597222222</v>
      </c>
      <c r="K27" s="25">
        <v>44332.739583333336</v>
      </c>
      <c r="L27" s="8">
        <v>49.138361000000003</v>
      </c>
      <c r="M27" s="8">
        <v>-14.794922</v>
      </c>
      <c r="N27" s="8"/>
      <c r="O27" s="8"/>
      <c r="P27" s="28" t="s">
        <v>47</v>
      </c>
      <c r="Q27" s="28" t="s">
        <v>47</v>
      </c>
      <c r="R27" s="8">
        <v>48.96311</v>
      </c>
      <c r="S27" s="8">
        <v>-14.815173</v>
      </c>
      <c r="T27" s="42" t="s">
        <v>39</v>
      </c>
      <c r="U27" s="39">
        <v>6.6578864776712896</v>
      </c>
      <c r="V27" s="39">
        <v>1.0008980506430842</v>
      </c>
      <c r="W27" s="37">
        <v>0.69180404836908271</v>
      </c>
      <c r="X27" s="37">
        <v>4.7894789641416351E-2</v>
      </c>
      <c r="Y27" s="39">
        <v>5.9660824293022072</v>
      </c>
      <c r="Z27" s="39">
        <v>1.0020433217460818</v>
      </c>
      <c r="AA27" s="39">
        <v>0.66109938491996723</v>
      </c>
      <c r="AB27" s="39">
        <v>0.12272842979380071</v>
      </c>
      <c r="AC27" s="38">
        <v>1.4369565625942042</v>
      </c>
      <c r="AD27" s="38">
        <v>6.3018932611927231E-3</v>
      </c>
      <c r="AE27" s="40">
        <v>271.73205495681231</v>
      </c>
      <c r="AF27" s="40">
        <v>9.3782354584108383</v>
      </c>
      <c r="AG27" s="40">
        <v>1392.7376282348848</v>
      </c>
      <c r="AH27" s="40">
        <v>3.4322346870384668</v>
      </c>
      <c r="AI27" s="36">
        <v>0</v>
      </c>
      <c r="AJ27" s="32" t="s">
        <v>56</v>
      </c>
    </row>
    <row r="28" spans="1:36" ht="16" x14ac:dyDescent="0.2">
      <c r="A28" s="35">
        <v>2</v>
      </c>
      <c r="B28" s="35">
        <v>2</v>
      </c>
      <c r="C28" s="26" t="s">
        <v>49</v>
      </c>
      <c r="D28" s="8">
        <v>125</v>
      </c>
      <c r="E28" s="41">
        <v>125</v>
      </c>
      <c r="F28" s="35">
        <v>0</v>
      </c>
      <c r="G28" s="26" t="s">
        <v>55</v>
      </c>
      <c r="H28" s="25">
        <v>44328.96601851852</v>
      </c>
      <c r="I28" s="25">
        <v>44331.75</v>
      </c>
      <c r="J28" s="25">
        <v>44332.71597222222</v>
      </c>
      <c r="K28" s="25">
        <v>44332.739583333336</v>
      </c>
      <c r="L28" s="8">
        <v>49.138361000000003</v>
      </c>
      <c r="M28" s="8">
        <v>-14.794922</v>
      </c>
      <c r="N28" s="8"/>
      <c r="O28" s="8"/>
      <c r="P28" s="28" t="s">
        <v>47</v>
      </c>
      <c r="Q28" s="28" t="s">
        <v>47</v>
      </c>
      <c r="R28" s="8">
        <v>48.96311</v>
      </c>
      <c r="S28" s="8">
        <v>-14.815173</v>
      </c>
      <c r="T28" s="42" t="s">
        <v>40</v>
      </c>
      <c r="U28" s="39">
        <v>8.4446234411403296</v>
      </c>
      <c r="V28" s="39">
        <v>0.99409750222309901</v>
      </c>
      <c r="W28" s="37">
        <v>0.61937281654145349</v>
      </c>
      <c r="X28" s="37">
        <v>1.5853420400732791E-2</v>
      </c>
      <c r="Y28" s="39">
        <v>7.8252506245988762</v>
      </c>
      <c r="Z28" s="39">
        <v>0.99422390580020081</v>
      </c>
      <c r="AA28" s="39">
        <v>1.1271130658615469</v>
      </c>
      <c r="AB28" s="39">
        <v>0.1229762427228312</v>
      </c>
      <c r="AC28" s="38">
        <v>1.3758026347649472</v>
      </c>
      <c r="AD28" s="38">
        <v>5.7875448722838124E-3</v>
      </c>
      <c r="AE28" s="40">
        <v>277.43863946588721</v>
      </c>
      <c r="AF28" s="40">
        <v>9.3782354584108347</v>
      </c>
      <c r="AG28" s="40">
        <v>1155.8961801901962</v>
      </c>
      <c r="AH28" s="40">
        <v>11.520525490894626</v>
      </c>
      <c r="AI28" s="36">
        <v>0</v>
      </c>
      <c r="AJ28" s="32" t="s">
        <v>56</v>
      </c>
    </row>
    <row r="29" spans="1:36" ht="16" x14ac:dyDescent="0.2">
      <c r="A29" s="35">
        <v>2</v>
      </c>
      <c r="B29" s="35">
        <v>2</v>
      </c>
      <c r="C29" s="26" t="s">
        <v>51</v>
      </c>
      <c r="D29" s="8">
        <v>175</v>
      </c>
      <c r="E29" s="41">
        <v>175</v>
      </c>
      <c r="F29" s="35">
        <v>0</v>
      </c>
      <c r="G29" s="26" t="s">
        <v>55</v>
      </c>
      <c r="H29" s="25">
        <v>44328.96601851852</v>
      </c>
      <c r="I29" s="25">
        <v>44331.75</v>
      </c>
      <c r="J29" s="25">
        <v>44332.722222222219</v>
      </c>
      <c r="K29" s="25">
        <v>44332.739583333336</v>
      </c>
      <c r="L29" s="8">
        <v>49.138361000000003</v>
      </c>
      <c r="M29" s="8">
        <v>-14.794922</v>
      </c>
      <c r="N29" s="8"/>
      <c r="O29" s="8"/>
      <c r="P29" s="28" t="s">
        <v>47</v>
      </c>
      <c r="Q29" s="28" t="s">
        <v>47</v>
      </c>
      <c r="R29" s="8">
        <v>48.96311</v>
      </c>
      <c r="S29" s="8">
        <v>-14.815173</v>
      </c>
      <c r="T29" s="42" t="s">
        <v>38</v>
      </c>
      <c r="U29" s="39">
        <v>3.5730280159369752</v>
      </c>
      <c r="V29" s="39">
        <v>0.86010691072397494</v>
      </c>
      <c r="W29" s="37">
        <v>0.11110674133697726</v>
      </c>
      <c r="X29" s="37">
        <v>1.5005439358499156E-2</v>
      </c>
      <c r="Y29" s="39">
        <v>3.4619212745999981</v>
      </c>
      <c r="Z29" s="39">
        <v>0.86023779333709893</v>
      </c>
      <c r="AA29" s="39">
        <v>0.39838876864518341</v>
      </c>
      <c r="AB29" s="39">
        <v>0.13090751716648999</v>
      </c>
      <c r="AC29" s="38">
        <v>0.95006544459869913</v>
      </c>
      <c r="AD29" s="38">
        <v>6.0956797886513522E-3</v>
      </c>
      <c r="AE29" s="40">
        <v>307.70467286216558</v>
      </c>
      <c r="AF29" s="40">
        <v>9.3708018342603001</v>
      </c>
      <c r="AG29" s="40">
        <v>735.22348478123729</v>
      </c>
      <c r="AH29" s="40">
        <v>4.0241809933225392</v>
      </c>
      <c r="AI29" s="36">
        <v>0</v>
      </c>
      <c r="AJ29" s="32" t="s">
        <v>56</v>
      </c>
    </row>
    <row r="30" spans="1:36" ht="16" x14ac:dyDescent="0.2">
      <c r="A30" s="35">
        <v>2</v>
      </c>
      <c r="B30" s="35">
        <v>2</v>
      </c>
      <c r="C30" s="26" t="s">
        <v>51</v>
      </c>
      <c r="D30" s="8">
        <v>175</v>
      </c>
      <c r="E30" s="41">
        <v>175</v>
      </c>
      <c r="F30" s="35">
        <v>0</v>
      </c>
      <c r="G30" s="26" t="s">
        <v>55</v>
      </c>
      <c r="H30" s="25">
        <v>44328.96601851852</v>
      </c>
      <c r="I30" s="25">
        <v>44331.75</v>
      </c>
      <c r="J30" s="25">
        <v>44332.722222222219</v>
      </c>
      <c r="K30" s="25">
        <v>44332.739583333336</v>
      </c>
      <c r="L30" s="8">
        <v>49.138361000000003</v>
      </c>
      <c r="M30" s="8">
        <v>-14.794922</v>
      </c>
      <c r="N30" s="8"/>
      <c r="O30" s="8"/>
      <c r="P30" s="28" t="s">
        <v>47</v>
      </c>
      <c r="Q30" s="28" t="s">
        <v>47</v>
      </c>
      <c r="R30" s="8">
        <v>48.96311</v>
      </c>
      <c r="S30" s="8">
        <v>-14.815173</v>
      </c>
      <c r="T30" s="42" t="s">
        <v>39</v>
      </c>
      <c r="U30" s="39">
        <v>5.0089962215058073</v>
      </c>
      <c r="V30" s="39">
        <v>0.96454898978239745</v>
      </c>
      <c r="W30" s="37">
        <v>0.44083471420532216</v>
      </c>
      <c r="X30" s="37">
        <v>5.0434790844966722E-2</v>
      </c>
      <c r="Y30" s="39">
        <v>4.5681615073004851</v>
      </c>
      <c r="Z30" s="39">
        <v>0.96586666875807403</v>
      </c>
      <c r="AA30" s="39">
        <v>0.36436125206504183</v>
      </c>
      <c r="AB30" s="39">
        <v>0.1224583869043185</v>
      </c>
      <c r="AC30" s="38">
        <v>0.98364188394120333</v>
      </c>
      <c r="AD30" s="38">
        <v>6.1301424743777037E-3</v>
      </c>
      <c r="AE30" s="40">
        <v>292.95209513129817</v>
      </c>
      <c r="AF30" s="40">
        <v>9.3708018342603001</v>
      </c>
      <c r="AG30" s="40">
        <v>930.76729644732382</v>
      </c>
      <c r="AH30" s="40">
        <v>3.5259893135456184</v>
      </c>
      <c r="AI30" s="36">
        <v>0</v>
      </c>
      <c r="AJ30" s="32" t="s">
        <v>56</v>
      </c>
    </row>
    <row r="31" spans="1:36" ht="16" x14ac:dyDescent="0.2">
      <c r="A31" s="35">
        <v>2</v>
      </c>
      <c r="B31" s="35">
        <v>2</v>
      </c>
      <c r="C31" s="26" t="s">
        <v>51</v>
      </c>
      <c r="D31" s="8">
        <v>175</v>
      </c>
      <c r="E31" s="41">
        <v>175</v>
      </c>
      <c r="F31" s="35">
        <v>0</v>
      </c>
      <c r="G31" s="26" t="s">
        <v>55</v>
      </c>
      <c r="H31" s="25">
        <v>44328.96601851852</v>
      </c>
      <c r="I31" s="25">
        <v>44331.75</v>
      </c>
      <c r="J31" s="25">
        <v>44332.722222222219</v>
      </c>
      <c r="K31" s="25">
        <v>44332.739583333336</v>
      </c>
      <c r="L31" s="8">
        <v>49.138361000000003</v>
      </c>
      <c r="M31" s="8">
        <v>-14.794922</v>
      </c>
      <c r="N31" s="8"/>
      <c r="O31" s="8"/>
      <c r="P31" s="28" t="s">
        <v>47</v>
      </c>
      <c r="Q31" s="28" t="s">
        <v>47</v>
      </c>
      <c r="R31" s="8">
        <v>48.96311</v>
      </c>
      <c r="S31" s="8">
        <v>-14.815173</v>
      </c>
      <c r="T31" s="42" t="s">
        <v>40</v>
      </c>
      <c r="U31" s="39">
        <v>4.5371695198888595</v>
      </c>
      <c r="V31" s="39">
        <v>0.98835329188304921</v>
      </c>
      <c r="W31" s="37">
        <v>0.67709509916025423</v>
      </c>
      <c r="X31" s="37">
        <v>1.6582241350555721E-2</v>
      </c>
      <c r="Y31" s="39">
        <v>3.8600744207286053</v>
      </c>
      <c r="Z31" s="39">
        <v>0.98849238758033331</v>
      </c>
      <c r="AA31" s="39">
        <v>0.36979599572424232</v>
      </c>
      <c r="AB31" s="39">
        <v>0.12264528133900673</v>
      </c>
      <c r="AC31" s="38">
        <v>0.88874843837592499</v>
      </c>
      <c r="AD31" s="38">
        <v>5.657426519475455E-3</v>
      </c>
      <c r="AE31" s="40">
        <v>216.54726920424019</v>
      </c>
      <c r="AF31" s="40">
        <v>9.3688709866782531</v>
      </c>
      <c r="AG31" s="40">
        <v>1127.6410386945784</v>
      </c>
      <c r="AH31" s="40">
        <v>5.2109061160448134</v>
      </c>
      <c r="AI31" s="36">
        <v>0</v>
      </c>
      <c r="AJ31" s="32" t="s">
        <v>56</v>
      </c>
    </row>
    <row r="32" spans="1:36" ht="16" x14ac:dyDescent="0.2">
      <c r="A32" s="35">
        <v>2</v>
      </c>
      <c r="B32" s="35">
        <v>2</v>
      </c>
      <c r="C32" s="26" t="s">
        <v>52</v>
      </c>
      <c r="D32" s="8">
        <v>330</v>
      </c>
      <c r="E32" s="41">
        <v>330</v>
      </c>
      <c r="F32" s="35">
        <v>0</v>
      </c>
      <c r="G32" s="26" t="s">
        <v>55</v>
      </c>
      <c r="H32" s="25">
        <v>44328.96601851852</v>
      </c>
      <c r="I32" s="25">
        <v>44331.75</v>
      </c>
      <c r="J32" s="25">
        <v>44332.729861111111</v>
      </c>
      <c r="K32" s="25">
        <v>44332.739583333336</v>
      </c>
      <c r="L32" s="8">
        <v>49.138361000000003</v>
      </c>
      <c r="M32" s="8">
        <v>-14.794922</v>
      </c>
      <c r="N32" s="8"/>
      <c r="O32" s="8"/>
      <c r="P32" s="28" t="s">
        <v>47</v>
      </c>
      <c r="Q32" s="28" t="s">
        <v>47</v>
      </c>
      <c r="R32" s="8">
        <v>48.96311</v>
      </c>
      <c r="S32" s="8">
        <v>-14.815173</v>
      </c>
      <c r="T32" s="42" t="s">
        <v>38</v>
      </c>
      <c r="U32" s="39">
        <v>2.4024594487581674</v>
      </c>
      <c r="V32" s="39">
        <v>0.86414282744723092</v>
      </c>
      <c r="W32" s="37">
        <v>0.54442918029015264</v>
      </c>
      <c r="X32" s="37">
        <v>1.8840545355052456E-2</v>
      </c>
      <c r="Y32" s="39">
        <v>1.8580302684680148</v>
      </c>
      <c r="Z32" s="39">
        <v>0.86434818931826918</v>
      </c>
      <c r="AA32" s="39">
        <v>2.2017622614918114E-2</v>
      </c>
      <c r="AB32" s="39">
        <v>0.13496729474137448</v>
      </c>
      <c r="AC32" s="38">
        <v>0.52490139807137082</v>
      </c>
      <c r="AD32" s="38">
        <v>5.9850390232605421E-3</v>
      </c>
      <c r="AE32" s="40">
        <v>130.96963706629876</v>
      </c>
      <c r="AF32" s="40">
        <v>9.3627897924580559</v>
      </c>
      <c r="AG32" s="40">
        <v>634.65893346975838</v>
      </c>
      <c r="AH32" s="40">
        <v>4.4356444113248417</v>
      </c>
      <c r="AI32" s="36">
        <v>0</v>
      </c>
      <c r="AJ32" s="32" t="s">
        <v>56</v>
      </c>
    </row>
    <row r="33" spans="1:36" ht="16" x14ac:dyDescent="0.2">
      <c r="A33" s="35">
        <v>2</v>
      </c>
      <c r="B33" s="35">
        <v>2</v>
      </c>
      <c r="C33" s="26" t="s">
        <v>52</v>
      </c>
      <c r="D33" s="8">
        <v>330</v>
      </c>
      <c r="E33" s="41">
        <v>330</v>
      </c>
      <c r="F33" s="35">
        <v>0</v>
      </c>
      <c r="G33" s="26" t="s">
        <v>55</v>
      </c>
      <c r="H33" s="25">
        <v>44328.96601851852</v>
      </c>
      <c r="I33" s="25">
        <v>44331.75</v>
      </c>
      <c r="J33" s="25">
        <v>44332.729861111111</v>
      </c>
      <c r="K33" s="25">
        <v>44332.739583333336</v>
      </c>
      <c r="L33" s="8">
        <v>49.138361000000003</v>
      </c>
      <c r="M33" s="8">
        <v>-14.794922</v>
      </c>
      <c r="N33" s="8"/>
      <c r="O33" s="8"/>
      <c r="P33" s="28" t="s">
        <v>47</v>
      </c>
      <c r="Q33" s="28" t="s">
        <v>47</v>
      </c>
      <c r="R33" s="8">
        <v>48.96311</v>
      </c>
      <c r="S33" s="8">
        <v>-14.815173</v>
      </c>
      <c r="T33" s="42" t="s">
        <v>39</v>
      </c>
      <c r="U33" s="39">
        <v>1.6874128830522317</v>
      </c>
      <c r="V33" s="39">
        <v>0.97534989096235458</v>
      </c>
      <c r="W33" s="37">
        <v>0.34356311589918637</v>
      </c>
      <c r="X33" s="37">
        <v>4.3193345328262606E-2</v>
      </c>
      <c r="Y33" s="39">
        <v>1.3438497671530454</v>
      </c>
      <c r="Z33" s="39">
        <v>0.97630583060889453</v>
      </c>
      <c r="AA33" s="39">
        <v>3.2228206984887431E-2</v>
      </c>
      <c r="AB33" s="39">
        <v>0.12245260543841145</v>
      </c>
      <c r="AC33" s="38">
        <v>0.56171724588820959</v>
      </c>
      <c r="AD33" s="38">
        <v>5.5541885924992249E-3</v>
      </c>
      <c r="AE33" s="40">
        <v>108.2067055245444</v>
      </c>
      <c r="AF33" s="40">
        <v>9.3788784758117991</v>
      </c>
      <c r="AG33" s="40">
        <v>745.96050888523598</v>
      </c>
      <c r="AH33" s="40">
        <v>3.9018418088189417</v>
      </c>
      <c r="AI33" s="36">
        <v>0</v>
      </c>
      <c r="AJ33" s="32" t="s">
        <v>56</v>
      </c>
    </row>
    <row r="34" spans="1:36" ht="16" x14ac:dyDescent="0.2">
      <c r="A34" s="35">
        <v>2</v>
      </c>
      <c r="B34" s="35">
        <v>2</v>
      </c>
      <c r="C34" s="26" t="s">
        <v>52</v>
      </c>
      <c r="D34" s="8">
        <v>330</v>
      </c>
      <c r="E34" s="41">
        <v>330</v>
      </c>
      <c r="F34" s="35">
        <v>0</v>
      </c>
      <c r="G34" s="26" t="s">
        <v>55</v>
      </c>
      <c r="H34" s="25">
        <v>44328.96601851852</v>
      </c>
      <c r="I34" s="25">
        <v>44331.75</v>
      </c>
      <c r="J34" s="25">
        <v>44332.729861111111</v>
      </c>
      <c r="K34" s="25">
        <v>44332.739583333336</v>
      </c>
      <c r="L34" s="8">
        <v>49.138361000000003</v>
      </c>
      <c r="M34" s="8">
        <v>-14.794922</v>
      </c>
      <c r="N34" s="8"/>
      <c r="O34" s="8"/>
      <c r="P34" s="28" t="s">
        <v>47</v>
      </c>
      <c r="Q34" s="28" t="s">
        <v>47</v>
      </c>
      <c r="R34" s="8">
        <v>48.96311</v>
      </c>
      <c r="S34" s="8">
        <v>-14.815173</v>
      </c>
      <c r="T34" s="42" t="s">
        <v>40</v>
      </c>
      <c r="U34" s="39">
        <v>5.0681171994813718</v>
      </c>
      <c r="V34" s="39">
        <v>1.0088063403597833</v>
      </c>
      <c r="W34" s="37">
        <v>0.33023496704415051</v>
      </c>
      <c r="X34" s="37">
        <v>1.519936056928897E-2</v>
      </c>
      <c r="Y34" s="39">
        <v>4.7378822324372214</v>
      </c>
      <c r="Z34" s="39">
        <v>1.00892083580022</v>
      </c>
      <c r="AA34" s="39">
        <v>0.42557409395251661</v>
      </c>
      <c r="AB34" s="39">
        <v>0.12276959768799021</v>
      </c>
      <c r="AC34" s="38">
        <v>0.49095276111380393</v>
      </c>
      <c r="AD34" s="38">
        <v>5.513703592664879E-3</v>
      </c>
      <c r="AE34" s="40">
        <v>130.44124961175481</v>
      </c>
      <c r="AF34" s="40">
        <v>9.3654373858466009</v>
      </c>
      <c r="AG34" s="40">
        <v>749.34436935719191</v>
      </c>
      <c r="AH34" s="40">
        <v>4.0391169879406288</v>
      </c>
      <c r="AI34" s="36">
        <v>0</v>
      </c>
      <c r="AJ34" s="32" t="s">
        <v>56</v>
      </c>
    </row>
    <row r="35" spans="1:36" ht="16" x14ac:dyDescent="0.2">
      <c r="A35" s="35">
        <v>2</v>
      </c>
      <c r="B35" s="35">
        <v>2</v>
      </c>
      <c r="C35" s="26" t="s">
        <v>53</v>
      </c>
      <c r="D35" s="8">
        <v>500</v>
      </c>
      <c r="E35" s="41">
        <v>500</v>
      </c>
      <c r="F35" s="35">
        <v>0</v>
      </c>
      <c r="G35" s="26" t="s">
        <v>55</v>
      </c>
      <c r="H35" s="25">
        <v>44328.96601851852</v>
      </c>
      <c r="I35" s="25">
        <v>44331.75</v>
      </c>
      <c r="J35" s="25">
        <v>44332.739583333336</v>
      </c>
      <c r="K35" s="25">
        <v>44332.739583333336</v>
      </c>
      <c r="L35" s="8">
        <v>49.138361000000003</v>
      </c>
      <c r="M35" s="8">
        <v>-14.794922</v>
      </c>
      <c r="N35" s="8"/>
      <c r="O35" s="8"/>
      <c r="P35" s="28" t="s">
        <v>47</v>
      </c>
      <c r="Q35" s="28" t="s">
        <v>47</v>
      </c>
      <c r="R35" s="8">
        <v>48.96311</v>
      </c>
      <c r="S35" s="8">
        <v>-14.815173</v>
      </c>
      <c r="T35" s="42" t="s">
        <v>38</v>
      </c>
      <c r="U35" s="39">
        <v>2.5921925872034053</v>
      </c>
      <c r="V35" s="39">
        <v>0.63703002515623097</v>
      </c>
      <c r="W35" s="37">
        <v>0.52060962153879498</v>
      </c>
      <c r="X35" s="37">
        <v>1.4360165510286214E-2</v>
      </c>
      <c r="Y35" s="39">
        <v>2.0715829656646103</v>
      </c>
      <c r="Z35" s="39">
        <v>0.63719186066994848</v>
      </c>
      <c r="AA35" s="39">
        <v>0.28897649505799761</v>
      </c>
      <c r="AB35" s="39">
        <v>9.8765429365793217E-2</v>
      </c>
      <c r="AC35" s="38">
        <v>0.46112641992528308</v>
      </c>
      <c r="AD35" s="38">
        <v>4.4641178152338814E-3</v>
      </c>
      <c r="AE35" s="40">
        <v>187.10965559526403</v>
      </c>
      <c r="AF35" s="40">
        <v>6.9145013240386231</v>
      </c>
      <c r="AG35" s="40">
        <v>629.79885190438415</v>
      </c>
      <c r="AH35" s="40">
        <v>4.4331630330640612</v>
      </c>
      <c r="AI35" s="36">
        <v>3</v>
      </c>
      <c r="AJ35" s="32" t="s">
        <v>57</v>
      </c>
    </row>
    <row r="36" spans="1:36" ht="16" x14ac:dyDescent="0.2">
      <c r="A36" s="35">
        <v>2</v>
      </c>
      <c r="B36" s="35">
        <v>2</v>
      </c>
      <c r="C36" s="26" t="s">
        <v>53</v>
      </c>
      <c r="D36" s="8">
        <v>500</v>
      </c>
      <c r="E36" s="41">
        <v>500</v>
      </c>
      <c r="F36" s="35">
        <v>0</v>
      </c>
      <c r="G36" s="26" t="s">
        <v>55</v>
      </c>
      <c r="H36" s="25">
        <v>44328.96601851852</v>
      </c>
      <c r="I36" s="25">
        <v>44331.75</v>
      </c>
      <c r="J36" s="25">
        <v>44332.739583333336</v>
      </c>
      <c r="K36" s="25">
        <v>44332.739583333336</v>
      </c>
      <c r="L36" s="8">
        <v>49.138361000000003</v>
      </c>
      <c r="M36" s="8">
        <v>-14.794922</v>
      </c>
      <c r="N36" s="8"/>
      <c r="O36" s="8"/>
      <c r="P36" s="28" t="s">
        <v>47</v>
      </c>
      <c r="Q36" s="28" t="s">
        <v>47</v>
      </c>
      <c r="R36" s="8">
        <v>48.96311</v>
      </c>
      <c r="S36" s="8">
        <v>-14.815173</v>
      </c>
      <c r="T36" s="42" t="s">
        <v>39</v>
      </c>
      <c r="U36" s="39">
        <v>4.6100848555193643</v>
      </c>
      <c r="V36" s="39">
        <v>0.72512755644839311</v>
      </c>
      <c r="W36" s="37">
        <v>0.47968526198524036</v>
      </c>
      <c r="X36" s="37">
        <v>3.2219912724205838E-2</v>
      </c>
      <c r="Y36" s="39">
        <v>4.1303995935341238</v>
      </c>
      <c r="Z36" s="39">
        <v>0.72584302428057612</v>
      </c>
      <c r="AA36" s="39">
        <v>0.57395547428070959</v>
      </c>
      <c r="AB36" s="39">
        <v>9.0501087090810339E-2</v>
      </c>
      <c r="AC36" s="38">
        <v>0.5287320681161789</v>
      </c>
      <c r="AD36" s="38">
        <v>4.1145464019245077E-3</v>
      </c>
      <c r="AE36" s="40">
        <v>151.40190443719112</v>
      </c>
      <c r="AF36" s="40">
        <v>6.920546818148134</v>
      </c>
      <c r="AG36" s="40">
        <v>605.19226333388394</v>
      </c>
      <c r="AH36" s="40">
        <v>4.1663140908837049</v>
      </c>
      <c r="AI36" s="36">
        <v>3</v>
      </c>
      <c r="AJ36" s="32" t="s">
        <v>57</v>
      </c>
    </row>
    <row r="37" spans="1:36" ht="16" x14ac:dyDescent="0.2">
      <c r="A37" s="35">
        <v>2</v>
      </c>
      <c r="B37" s="35">
        <v>2</v>
      </c>
      <c r="C37" s="26" t="s">
        <v>53</v>
      </c>
      <c r="D37" s="8">
        <v>500</v>
      </c>
      <c r="E37" s="41">
        <v>500</v>
      </c>
      <c r="F37" s="35">
        <v>0</v>
      </c>
      <c r="G37" s="26" t="s">
        <v>55</v>
      </c>
      <c r="H37" s="25">
        <v>44328.96601851852</v>
      </c>
      <c r="I37" s="25">
        <v>44331.75</v>
      </c>
      <c r="J37" s="25">
        <v>44332.739583333336</v>
      </c>
      <c r="K37" s="25">
        <v>44332.739583333336</v>
      </c>
      <c r="L37" s="8">
        <v>49.138361000000003</v>
      </c>
      <c r="M37" s="8">
        <v>-14.794922</v>
      </c>
      <c r="N37" s="8"/>
      <c r="O37" s="8"/>
      <c r="P37" s="28" t="s">
        <v>47</v>
      </c>
      <c r="Q37" s="28" t="s">
        <v>47</v>
      </c>
      <c r="R37" s="8">
        <v>48.96311</v>
      </c>
      <c r="S37" s="8">
        <v>-14.815173</v>
      </c>
      <c r="T37" s="42" t="s">
        <v>40</v>
      </c>
      <c r="U37" s="39">
        <v>3.5621576192279374</v>
      </c>
      <c r="V37" s="39">
        <v>0.73781492334376431</v>
      </c>
      <c r="W37" s="37">
        <v>0.35238160221319798</v>
      </c>
      <c r="X37" s="37">
        <v>1.1444698844466012E-2</v>
      </c>
      <c r="Y37" s="39">
        <v>3.2097760170147396</v>
      </c>
      <c r="Z37" s="39">
        <v>0.73790368086926172</v>
      </c>
      <c r="AA37" s="39">
        <v>0.40111865225323284</v>
      </c>
      <c r="AB37" s="39">
        <v>9.0526731651298598E-2</v>
      </c>
      <c r="AC37" s="38">
        <v>0.40339198935108822</v>
      </c>
      <c r="AD37" s="38">
        <v>4.0879761447468353E-3</v>
      </c>
      <c r="AE37" s="40">
        <v>143.48070898378469</v>
      </c>
      <c r="AF37" s="40">
        <v>6.9180167890719177</v>
      </c>
      <c r="AG37" s="40">
        <v>631.05029070206604</v>
      </c>
      <c r="AH37" s="40">
        <v>4.0559180939449826</v>
      </c>
      <c r="AI37" s="36">
        <v>3</v>
      </c>
      <c r="AJ37" s="32" t="s">
        <v>57</v>
      </c>
    </row>
    <row r="38" spans="1:36" ht="16" x14ac:dyDescent="0.2">
      <c r="A38" s="35">
        <v>3</v>
      </c>
      <c r="B38" s="35">
        <v>1</v>
      </c>
      <c r="C38" s="35" t="s">
        <v>58</v>
      </c>
      <c r="D38" s="19">
        <v>105</v>
      </c>
      <c r="E38" s="35">
        <v>109</v>
      </c>
      <c r="F38" s="35">
        <v>0</v>
      </c>
      <c r="G38" s="26" t="s">
        <v>59</v>
      </c>
      <c r="H38" s="25">
        <v>44339.041666666664</v>
      </c>
      <c r="I38" s="25">
        <v>44340.666666666664</v>
      </c>
      <c r="J38" s="25">
        <v>44340.713888888888</v>
      </c>
      <c r="K38" s="25">
        <v>44340.903437499997</v>
      </c>
      <c r="L38" s="8">
        <v>48.883723000000003</v>
      </c>
      <c r="M38" s="8">
        <v>-14.770284</v>
      </c>
      <c r="N38" s="8"/>
      <c r="O38" s="8"/>
      <c r="P38" s="26">
        <v>48.812849999999997</v>
      </c>
      <c r="Q38" s="26">
        <v>-14.653957</v>
      </c>
      <c r="R38" s="8">
        <v>48.788513999999999</v>
      </c>
      <c r="S38" s="8">
        <v>-14.730548000000001</v>
      </c>
      <c r="T38" s="42" t="s">
        <v>38</v>
      </c>
      <c r="U38" s="39">
        <v>21.919420308122895</v>
      </c>
      <c r="V38" s="39">
        <v>1.550390933711737</v>
      </c>
      <c r="W38" s="37">
        <v>1.4644266802309465</v>
      </c>
      <c r="X38" s="37">
        <v>3.9828858532149666E-2</v>
      </c>
      <c r="Y38" s="39">
        <v>20.454993627891948</v>
      </c>
      <c r="Z38" s="39">
        <v>1.5509024422275972</v>
      </c>
      <c r="AA38" s="39">
        <v>2.6391465432036099</v>
      </c>
      <c r="AB38" s="39">
        <v>0.23984632910484852</v>
      </c>
      <c r="AC38" s="38">
        <v>6.3243741914270357</v>
      </c>
      <c r="AD38" s="38">
        <v>1.2865821920022384E-2</v>
      </c>
      <c r="AE38" s="40">
        <v>1082.6230942735799</v>
      </c>
      <c r="AF38" s="40">
        <v>16.049828472889246</v>
      </c>
      <c r="AG38" s="40">
        <v>3975.3126370447553</v>
      </c>
      <c r="AH38" s="40">
        <v>4.9176422868598637</v>
      </c>
      <c r="AI38" s="36">
        <v>0</v>
      </c>
      <c r="AJ38" s="32" t="s">
        <v>60</v>
      </c>
    </row>
    <row r="39" spans="1:36" ht="16" x14ac:dyDescent="0.2">
      <c r="A39" s="35">
        <v>3</v>
      </c>
      <c r="B39" s="35">
        <v>1</v>
      </c>
      <c r="C39" s="35" t="s">
        <v>58</v>
      </c>
      <c r="D39" s="19">
        <v>105</v>
      </c>
      <c r="E39" s="35">
        <v>109</v>
      </c>
      <c r="F39" s="35">
        <v>0</v>
      </c>
      <c r="G39" s="26" t="s">
        <v>59</v>
      </c>
      <c r="H39" s="25">
        <v>44339.041666666664</v>
      </c>
      <c r="I39" s="25">
        <v>44340.666666666664</v>
      </c>
      <c r="J39" s="25">
        <v>44340.713888888888</v>
      </c>
      <c r="K39" s="25">
        <v>44340.903437499997</v>
      </c>
      <c r="L39" s="8">
        <v>48.883723000000003</v>
      </c>
      <c r="M39" s="8">
        <v>-14.770284</v>
      </c>
      <c r="N39" s="8"/>
      <c r="O39" s="8"/>
      <c r="P39" s="26">
        <v>48.812849999999997</v>
      </c>
      <c r="Q39" s="26">
        <v>-14.653957</v>
      </c>
      <c r="R39" s="8">
        <v>48.788513999999999</v>
      </c>
      <c r="S39" s="8">
        <v>-14.730548000000001</v>
      </c>
      <c r="T39" s="42" t="s">
        <v>39</v>
      </c>
      <c r="U39" s="39">
        <v>23.375489106288285</v>
      </c>
      <c r="V39" s="39">
        <v>1.7639600095936463</v>
      </c>
      <c r="W39" s="37">
        <v>1.568901034607965</v>
      </c>
      <c r="X39" s="37">
        <v>8.5086609192259979E-2</v>
      </c>
      <c r="Y39" s="39">
        <v>21.80658807168032</v>
      </c>
      <c r="Z39" s="39">
        <v>1.7660109417864469</v>
      </c>
      <c r="AA39" s="39">
        <v>2.4963752229609946</v>
      </c>
      <c r="AB39" s="39">
        <v>0.21099801453114914</v>
      </c>
      <c r="AC39" s="38">
        <v>5.5610152787151739</v>
      </c>
      <c r="AD39" s="38">
        <v>1.1140979961593647E-2</v>
      </c>
      <c r="AE39" s="40">
        <v>1062.3094273579711</v>
      </c>
      <c r="AF39" s="40">
        <v>16.059751006695432</v>
      </c>
      <c r="AG39" s="40">
        <v>4910.975112386328</v>
      </c>
      <c r="AH39" s="40">
        <v>4.4008927252791006</v>
      </c>
      <c r="AI39" s="36">
        <v>0</v>
      </c>
      <c r="AJ39" s="32" t="s">
        <v>60</v>
      </c>
    </row>
    <row r="40" spans="1:36" ht="16" x14ac:dyDescent="0.2">
      <c r="A40" s="35">
        <v>3</v>
      </c>
      <c r="B40" s="35">
        <v>1</v>
      </c>
      <c r="C40" s="35" t="s">
        <v>58</v>
      </c>
      <c r="D40" s="19">
        <v>105</v>
      </c>
      <c r="E40" s="35">
        <v>109</v>
      </c>
      <c r="F40" s="35">
        <v>0</v>
      </c>
      <c r="G40" s="26" t="s">
        <v>59</v>
      </c>
      <c r="H40" s="25">
        <v>44339.041666666664</v>
      </c>
      <c r="I40" s="25">
        <v>44340.666666666664</v>
      </c>
      <c r="J40" s="25">
        <v>44340.713888888888</v>
      </c>
      <c r="K40" s="25">
        <v>44340.903437499997</v>
      </c>
      <c r="L40" s="8">
        <v>48.883723000000003</v>
      </c>
      <c r="M40" s="8">
        <v>-14.770284</v>
      </c>
      <c r="N40" s="8"/>
      <c r="O40" s="8"/>
      <c r="P40" s="26">
        <v>48.812849999999997</v>
      </c>
      <c r="Q40" s="26">
        <v>-14.653957</v>
      </c>
      <c r="R40" s="8">
        <v>48.788513999999999</v>
      </c>
      <c r="S40" s="8">
        <v>-14.730548000000001</v>
      </c>
      <c r="T40" s="42" t="s">
        <v>40</v>
      </c>
      <c r="U40" s="39">
        <v>26.512066479968141</v>
      </c>
      <c r="V40" s="39">
        <v>1.7613502829274048</v>
      </c>
      <c r="W40" s="37">
        <v>1.660718295235214</v>
      </c>
      <c r="X40" s="37">
        <v>2.7838945019718425E-2</v>
      </c>
      <c r="Y40" s="39">
        <v>24.851348184732927</v>
      </c>
      <c r="Z40" s="39">
        <v>1.761570272804426</v>
      </c>
      <c r="AA40" s="39">
        <v>3.1480565677511341</v>
      </c>
      <c r="AB40" s="39">
        <v>0.21169602285428435</v>
      </c>
      <c r="AC40" s="38">
        <v>5.5176303318450088</v>
      </c>
      <c r="AD40" s="38">
        <v>1.1145733571117734E-2</v>
      </c>
      <c r="AE40" s="40">
        <v>1012.05030137069</v>
      </c>
      <c r="AF40" s="40">
        <v>16.063669331054324</v>
      </c>
      <c r="AG40" s="40">
        <v>5180.7249709746256</v>
      </c>
      <c r="AH40" s="40">
        <v>5.0197030292572444</v>
      </c>
      <c r="AI40" s="36">
        <v>0</v>
      </c>
      <c r="AJ40" s="32" t="s">
        <v>60</v>
      </c>
    </row>
    <row r="41" spans="1:36" ht="64" x14ac:dyDescent="0.2">
      <c r="A41" s="35">
        <v>3</v>
      </c>
      <c r="B41" s="35">
        <v>1</v>
      </c>
      <c r="C41" s="35" t="s">
        <v>61</v>
      </c>
      <c r="D41" s="19">
        <v>145</v>
      </c>
      <c r="E41" s="35">
        <v>143</v>
      </c>
      <c r="F41" s="35">
        <v>0</v>
      </c>
      <c r="G41" s="26" t="s">
        <v>62</v>
      </c>
      <c r="H41" s="25">
        <v>44338.986111111109</v>
      </c>
      <c r="I41" s="25">
        <v>44340.625</v>
      </c>
      <c r="J41" s="25">
        <v>44340.71875</v>
      </c>
      <c r="K41" s="25">
        <v>44340.886076388888</v>
      </c>
      <c r="L41" s="8">
        <v>48.884160000000001</v>
      </c>
      <c r="M41" s="8">
        <v>-14.769467000000001</v>
      </c>
      <c r="N41" s="8"/>
      <c r="O41" s="8"/>
      <c r="P41" s="26">
        <v>48.812289999999997</v>
      </c>
      <c r="Q41" s="26">
        <v>-14.665459999999999</v>
      </c>
      <c r="R41" s="8">
        <v>48.789813000000002</v>
      </c>
      <c r="S41" s="8">
        <v>-14.738694000000001</v>
      </c>
      <c r="T41" s="42" t="s">
        <v>38</v>
      </c>
      <c r="U41" s="11" t="s">
        <v>63</v>
      </c>
      <c r="V41" s="11" t="s">
        <v>63</v>
      </c>
      <c r="W41" s="11" t="s">
        <v>63</v>
      </c>
      <c r="X41" s="11" t="s">
        <v>63</v>
      </c>
      <c r="Y41" s="11" t="s">
        <v>63</v>
      </c>
      <c r="Z41" s="11" t="s">
        <v>63</v>
      </c>
      <c r="AA41" s="11" t="s">
        <v>63</v>
      </c>
      <c r="AB41" s="11" t="s">
        <v>63</v>
      </c>
      <c r="AC41" s="11" t="s">
        <v>63</v>
      </c>
      <c r="AD41" s="11" t="s">
        <v>63</v>
      </c>
      <c r="AE41" s="11" t="s">
        <v>63</v>
      </c>
      <c r="AF41" s="11" t="s">
        <v>63</v>
      </c>
      <c r="AG41" s="11" t="s">
        <v>63</v>
      </c>
      <c r="AH41" s="11" t="s">
        <v>63</v>
      </c>
      <c r="AI41" s="36">
        <v>3</v>
      </c>
      <c r="AJ41" s="32" t="s">
        <v>64</v>
      </c>
    </row>
    <row r="42" spans="1:36" ht="64" x14ac:dyDescent="0.2">
      <c r="A42" s="35">
        <v>3</v>
      </c>
      <c r="B42" s="35">
        <v>1</v>
      </c>
      <c r="C42" s="35" t="s">
        <v>61</v>
      </c>
      <c r="D42" s="19">
        <v>145</v>
      </c>
      <c r="E42" s="35">
        <v>143</v>
      </c>
      <c r="F42" s="35">
        <v>0</v>
      </c>
      <c r="G42" s="26" t="s">
        <v>62</v>
      </c>
      <c r="H42" s="25">
        <v>44338.986111111109</v>
      </c>
      <c r="I42" s="25">
        <v>44340.625</v>
      </c>
      <c r="J42" s="25">
        <v>44340.71875</v>
      </c>
      <c r="K42" s="25">
        <v>44340.886076388888</v>
      </c>
      <c r="L42" s="8">
        <v>48.884160000000001</v>
      </c>
      <c r="M42" s="8">
        <v>-14.769467000000001</v>
      </c>
      <c r="N42" s="8"/>
      <c r="O42" s="8"/>
      <c r="P42" s="26">
        <v>48.812289999999997</v>
      </c>
      <c r="Q42" s="26">
        <v>-14.665459999999999</v>
      </c>
      <c r="R42" s="8">
        <v>48.789813000000002</v>
      </c>
      <c r="S42" s="8">
        <v>-14.738694000000001</v>
      </c>
      <c r="T42" s="42" t="s">
        <v>39</v>
      </c>
      <c r="U42" s="11" t="s">
        <v>63</v>
      </c>
      <c r="V42" s="11" t="s">
        <v>63</v>
      </c>
      <c r="W42" s="11" t="s">
        <v>63</v>
      </c>
      <c r="X42" s="11" t="s">
        <v>63</v>
      </c>
      <c r="Y42" s="11" t="s">
        <v>63</v>
      </c>
      <c r="Z42" s="11" t="s">
        <v>63</v>
      </c>
      <c r="AA42" s="11" t="s">
        <v>63</v>
      </c>
      <c r="AB42" s="11" t="s">
        <v>63</v>
      </c>
      <c r="AC42" s="11" t="s">
        <v>63</v>
      </c>
      <c r="AD42" s="11" t="s">
        <v>63</v>
      </c>
      <c r="AE42" s="11" t="s">
        <v>63</v>
      </c>
      <c r="AF42" s="11" t="s">
        <v>63</v>
      </c>
      <c r="AG42" s="11" t="s">
        <v>63</v>
      </c>
      <c r="AH42" s="11" t="s">
        <v>63</v>
      </c>
      <c r="AI42" s="36">
        <v>3</v>
      </c>
      <c r="AJ42" s="32" t="s">
        <v>64</v>
      </c>
    </row>
    <row r="43" spans="1:36" ht="64" x14ac:dyDescent="0.2">
      <c r="A43" s="35">
        <v>3</v>
      </c>
      <c r="B43" s="35">
        <v>1</v>
      </c>
      <c r="C43" s="35" t="s">
        <v>61</v>
      </c>
      <c r="D43" s="19">
        <v>145</v>
      </c>
      <c r="E43" s="35">
        <v>143</v>
      </c>
      <c r="F43" s="35">
        <v>0</v>
      </c>
      <c r="G43" s="26" t="s">
        <v>62</v>
      </c>
      <c r="H43" s="25">
        <v>44338.986111111109</v>
      </c>
      <c r="I43" s="25">
        <v>44340.625</v>
      </c>
      <c r="J43" s="25">
        <v>44340.71875</v>
      </c>
      <c r="K43" s="25">
        <v>44340.886076388888</v>
      </c>
      <c r="L43" s="8">
        <v>48.884160000000001</v>
      </c>
      <c r="M43" s="8">
        <v>-14.769467000000001</v>
      </c>
      <c r="N43" s="8"/>
      <c r="O43" s="8"/>
      <c r="P43" s="26">
        <v>48.812289999999997</v>
      </c>
      <c r="Q43" s="26">
        <v>-14.665459999999999</v>
      </c>
      <c r="R43" s="8">
        <v>48.789813000000002</v>
      </c>
      <c r="S43" s="8">
        <v>-14.738694000000001</v>
      </c>
      <c r="T43" s="42" t="s">
        <v>40</v>
      </c>
      <c r="U43" s="11" t="s">
        <v>63</v>
      </c>
      <c r="V43" s="11" t="s">
        <v>63</v>
      </c>
      <c r="W43" s="11" t="s">
        <v>63</v>
      </c>
      <c r="X43" s="11" t="s">
        <v>63</v>
      </c>
      <c r="Y43" s="11" t="s">
        <v>63</v>
      </c>
      <c r="Z43" s="11" t="s">
        <v>63</v>
      </c>
      <c r="AA43" s="11" t="s">
        <v>63</v>
      </c>
      <c r="AB43" s="11" t="s">
        <v>63</v>
      </c>
      <c r="AC43" s="11" t="s">
        <v>63</v>
      </c>
      <c r="AD43" s="11" t="s">
        <v>63</v>
      </c>
      <c r="AE43" s="11" t="s">
        <v>63</v>
      </c>
      <c r="AF43" s="11" t="s">
        <v>63</v>
      </c>
      <c r="AG43" s="11" t="s">
        <v>63</v>
      </c>
      <c r="AH43" s="11" t="s">
        <v>63</v>
      </c>
      <c r="AI43" s="36">
        <v>3</v>
      </c>
      <c r="AJ43" s="32" t="s">
        <v>64</v>
      </c>
    </row>
    <row r="44" spans="1:36" ht="48" x14ac:dyDescent="0.2">
      <c r="A44" s="35">
        <v>3</v>
      </c>
      <c r="B44" s="35">
        <v>1</v>
      </c>
      <c r="C44" s="35" t="s">
        <v>65</v>
      </c>
      <c r="D44" s="8">
        <v>145</v>
      </c>
      <c r="E44" s="35">
        <v>143</v>
      </c>
      <c r="F44" s="35">
        <v>0</v>
      </c>
      <c r="G44" s="26" t="s">
        <v>62</v>
      </c>
      <c r="H44" s="25">
        <v>44338.986111111109</v>
      </c>
      <c r="I44" s="25">
        <v>44340.625</v>
      </c>
      <c r="J44" s="25">
        <v>44340.71875</v>
      </c>
      <c r="K44" s="25">
        <v>44340.886076388888</v>
      </c>
      <c r="L44" s="8">
        <v>48.884160000000001</v>
      </c>
      <c r="M44" s="8">
        <v>-14.769467000000001</v>
      </c>
      <c r="N44" s="8"/>
      <c r="O44" s="8"/>
      <c r="P44" s="26">
        <v>48.812289999999997</v>
      </c>
      <c r="Q44" s="26">
        <v>-14.665459999999999</v>
      </c>
      <c r="R44" s="8">
        <v>48.789813000000002</v>
      </c>
      <c r="S44" s="8">
        <v>-14.738694000000001</v>
      </c>
      <c r="T44" s="42" t="s">
        <v>38</v>
      </c>
      <c r="U44" s="39">
        <v>27.575614029837052</v>
      </c>
      <c r="V44" s="39">
        <v>1.5708966036175713</v>
      </c>
      <c r="W44" s="37">
        <v>2.5291422939983534</v>
      </c>
      <c r="X44" s="37">
        <v>5.9592989639031937E-2</v>
      </c>
      <c r="Y44" s="39">
        <v>25.046471735838697</v>
      </c>
      <c r="Z44" s="39">
        <v>1.5720265467451047</v>
      </c>
      <c r="AA44" s="39">
        <v>2.8099346053239369</v>
      </c>
      <c r="AB44" s="39">
        <v>0.26853572861605651</v>
      </c>
      <c r="AC44" s="38">
        <v>8.9990697955715255</v>
      </c>
      <c r="AD44" s="38">
        <v>1.7217062054171017E-2</v>
      </c>
      <c r="AE44" s="40">
        <v>1749.2482833916952</v>
      </c>
      <c r="AF44" s="40">
        <v>15.918793690700712</v>
      </c>
      <c r="AG44" s="40">
        <v>6962.3207961196913</v>
      </c>
      <c r="AH44" s="40">
        <v>10.438240517799256</v>
      </c>
      <c r="AI44" s="36">
        <v>0</v>
      </c>
      <c r="AJ44" s="32" t="s">
        <v>66</v>
      </c>
    </row>
    <row r="45" spans="1:36" ht="48" x14ac:dyDescent="0.2">
      <c r="A45" s="35">
        <v>3</v>
      </c>
      <c r="B45" s="35">
        <v>1</v>
      </c>
      <c r="C45" s="35" t="s">
        <v>65</v>
      </c>
      <c r="D45" s="8">
        <v>145</v>
      </c>
      <c r="E45" s="35">
        <v>143</v>
      </c>
      <c r="F45" s="35">
        <v>0</v>
      </c>
      <c r="G45" s="26" t="s">
        <v>62</v>
      </c>
      <c r="H45" s="25">
        <v>44338.986111111109</v>
      </c>
      <c r="I45" s="25">
        <v>44340.625</v>
      </c>
      <c r="J45" s="25">
        <v>44340.71875</v>
      </c>
      <c r="K45" s="25">
        <v>44340.886076388888</v>
      </c>
      <c r="L45" s="8">
        <v>48.884160000000001</v>
      </c>
      <c r="M45" s="8">
        <v>-14.769467000000001</v>
      </c>
      <c r="N45" s="8"/>
      <c r="O45" s="8"/>
      <c r="P45" s="26">
        <v>48.812289999999997</v>
      </c>
      <c r="Q45" s="26">
        <v>-14.665459999999999</v>
      </c>
      <c r="R45" s="8">
        <v>48.789813000000002</v>
      </c>
      <c r="S45" s="8">
        <v>-14.738694000000001</v>
      </c>
      <c r="T45" s="42" t="s">
        <v>39</v>
      </c>
      <c r="U45" s="39">
        <v>31.096554422013469</v>
      </c>
      <c r="V45" s="39">
        <v>2.2399393924966242</v>
      </c>
      <c r="W45" s="37">
        <v>2.6217681101885186</v>
      </c>
      <c r="X45" s="37">
        <v>0.15673379967802886</v>
      </c>
      <c r="Y45" s="39">
        <v>28.47478631182495</v>
      </c>
      <c r="Z45" s="39">
        <v>2.2454162122020183</v>
      </c>
      <c r="AA45" s="39">
        <v>3.52790029262668</v>
      </c>
      <c r="AB45" s="39">
        <v>0.21303783154199371</v>
      </c>
      <c r="AC45" s="38">
        <v>8.3203964109214414</v>
      </c>
      <c r="AD45" s="38">
        <v>1.4114180952760061E-2</v>
      </c>
      <c r="AE45" s="40">
        <v>1426.0505333059969</v>
      </c>
      <c r="AF45" s="40">
        <v>15.960037277310802</v>
      </c>
      <c r="AG45" s="40">
        <v>7831.8398280419397</v>
      </c>
      <c r="AH45" s="40">
        <v>9.8160155060063214</v>
      </c>
      <c r="AI45" s="36">
        <v>0</v>
      </c>
      <c r="AJ45" s="32" t="s">
        <v>66</v>
      </c>
    </row>
    <row r="46" spans="1:36" ht="48" x14ac:dyDescent="0.2">
      <c r="A46" s="35">
        <v>3</v>
      </c>
      <c r="B46" s="35">
        <v>1</v>
      </c>
      <c r="C46" s="35" t="s">
        <v>65</v>
      </c>
      <c r="D46" s="8">
        <v>145</v>
      </c>
      <c r="E46" s="35">
        <v>143</v>
      </c>
      <c r="F46" s="35">
        <v>0</v>
      </c>
      <c r="G46" s="26" t="s">
        <v>62</v>
      </c>
      <c r="H46" s="25">
        <v>44338.986111111109</v>
      </c>
      <c r="I46" s="25">
        <v>44340.625</v>
      </c>
      <c r="J46" s="25">
        <v>44340.71875</v>
      </c>
      <c r="K46" s="25">
        <v>44340.886076388888</v>
      </c>
      <c r="L46" s="8">
        <v>48.884160000000001</v>
      </c>
      <c r="M46" s="8">
        <v>-14.769467000000001</v>
      </c>
      <c r="N46" s="8"/>
      <c r="O46" s="8"/>
      <c r="P46" s="26">
        <v>48.812289999999997</v>
      </c>
      <c r="Q46" s="26">
        <v>-14.665459999999999</v>
      </c>
      <c r="R46" s="8">
        <v>48.789813000000002</v>
      </c>
      <c r="S46" s="8">
        <v>-14.738694000000001</v>
      </c>
      <c r="T46" s="42" t="s">
        <v>40</v>
      </c>
      <c r="U46" s="39">
        <v>29.545065432964087</v>
      </c>
      <c r="V46" s="39">
        <v>2.286861377039803</v>
      </c>
      <c r="W46" s="37">
        <v>1.6158258938063339</v>
      </c>
      <c r="X46" s="37">
        <v>4.0825998305188113E-2</v>
      </c>
      <c r="Y46" s="39">
        <v>27.929239539157752</v>
      </c>
      <c r="Z46" s="39">
        <v>2.2872257693402283</v>
      </c>
      <c r="AA46" s="39">
        <v>3.0671897174444775</v>
      </c>
      <c r="AB46" s="39">
        <v>0.21371801154955247</v>
      </c>
      <c r="AC46" s="38">
        <v>7.424327022930199</v>
      </c>
      <c r="AD46" s="38">
        <v>1.4546554437695265E-2</v>
      </c>
      <c r="AE46" s="40">
        <v>1348.7157239653393</v>
      </c>
      <c r="AF46" s="40">
        <v>15.955675355766909</v>
      </c>
      <c r="AG46" s="40">
        <v>7631.3914630915669</v>
      </c>
      <c r="AH46" s="40">
        <v>9.9006027680865163</v>
      </c>
      <c r="AI46" s="36">
        <v>0</v>
      </c>
      <c r="AJ46" s="44" t="s">
        <v>66</v>
      </c>
    </row>
    <row r="47" spans="1:36" ht="48" x14ac:dyDescent="0.2">
      <c r="A47" s="35">
        <v>3</v>
      </c>
      <c r="B47" s="35">
        <v>2</v>
      </c>
      <c r="C47" s="26" t="s">
        <v>45</v>
      </c>
      <c r="D47" s="8">
        <v>95</v>
      </c>
      <c r="E47" s="35">
        <v>95</v>
      </c>
      <c r="F47" s="35">
        <v>0</v>
      </c>
      <c r="G47" s="26" t="s">
        <v>67</v>
      </c>
      <c r="H47" s="25">
        <v>44338.933391203704</v>
      </c>
      <c r="I47" s="25">
        <v>44340.75</v>
      </c>
      <c r="J47" s="25">
        <v>44340.941666666666</v>
      </c>
      <c r="K47" s="25">
        <v>44340.941666666666</v>
      </c>
      <c r="L47" s="8">
        <v>48.886738999999999</v>
      </c>
      <c r="M47" s="8">
        <v>-14.756997</v>
      </c>
      <c r="N47" s="8"/>
      <c r="O47" s="8"/>
      <c r="P47" s="28" t="s">
        <v>47</v>
      </c>
      <c r="Q47" s="28" t="s">
        <v>47</v>
      </c>
      <c r="R47" s="8">
        <v>48.806024000000001</v>
      </c>
      <c r="S47" s="8">
        <v>-14.730060999999999</v>
      </c>
      <c r="T47" s="42" t="s">
        <v>38</v>
      </c>
      <c r="U47" s="39">
        <v>6.9796791805951344</v>
      </c>
      <c r="V47" s="39">
        <v>1.3241158179247479</v>
      </c>
      <c r="W47" s="37">
        <v>0.47448567924196494</v>
      </c>
      <c r="X47" s="37">
        <v>2.517368626755381E-2</v>
      </c>
      <c r="Y47" s="39">
        <v>6.505193501353169</v>
      </c>
      <c r="Z47" s="39">
        <v>1.3243550935299873</v>
      </c>
      <c r="AA47" s="39">
        <v>0.47660905297672446</v>
      </c>
      <c r="AB47" s="39">
        <v>0.20177829830234742</v>
      </c>
      <c r="AC47" s="38">
        <v>1.7453164893616031</v>
      </c>
      <c r="AD47" s="38">
        <v>9.3975708415348601E-3</v>
      </c>
      <c r="AE47" s="40">
        <v>360.62483602668601</v>
      </c>
      <c r="AF47" s="40">
        <v>14.361887047397119</v>
      </c>
      <c r="AG47" s="40">
        <v>1533.7122362718223</v>
      </c>
      <c r="AH47" s="40">
        <v>6.4000560421088517</v>
      </c>
      <c r="AI47" s="43">
        <v>0</v>
      </c>
      <c r="AJ47" s="32" t="s">
        <v>68</v>
      </c>
    </row>
    <row r="48" spans="1:36" ht="48" x14ac:dyDescent="0.2">
      <c r="A48" s="35">
        <v>3</v>
      </c>
      <c r="B48" s="35">
        <v>2</v>
      </c>
      <c r="C48" s="26" t="s">
        <v>45</v>
      </c>
      <c r="D48" s="8">
        <v>95</v>
      </c>
      <c r="E48" s="35">
        <v>95</v>
      </c>
      <c r="F48" s="35">
        <v>0</v>
      </c>
      <c r="G48" s="26" t="s">
        <v>67</v>
      </c>
      <c r="H48" s="25">
        <v>44338.933391203704</v>
      </c>
      <c r="I48" s="25">
        <v>44340.75</v>
      </c>
      <c r="J48" s="25">
        <v>44340.941666666666</v>
      </c>
      <c r="K48" s="25">
        <v>44340.941666666666</v>
      </c>
      <c r="L48" s="8">
        <v>48.886738999999999</v>
      </c>
      <c r="M48" s="8">
        <v>-14.756997</v>
      </c>
      <c r="N48" s="8"/>
      <c r="O48" s="8"/>
      <c r="P48" s="28" t="s">
        <v>47</v>
      </c>
      <c r="Q48" s="28" t="s">
        <v>47</v>
      </c>
      <c r="R48" s="8">
        <v>48.806024000000001</v>
      </c>
      <c r="S48" s="8">
        <v>-14.730060999999999</v>
      </c>
      <c r="T48" s="42" t="s">
        <v>39</v>
      </c>
      <c r="U48" s="39">
        <v>7.749441767788154</v>
      </c>
      <c r="V48" s="39">
        <v>1.5805984261175565</v>
      </c>
      <c r="W48" s="37">
        <v>0.5352850294565703</v>
      </c>
      <c r="X48" s="37">
        <v>7.1670733728490962E-2</v>
      </c>
      <c r="Y48" s="39">
        <v>7.2141567383315834</v>
      </c>
      <c r="Z48" s="39">
        <v>1.5822225123915021</v>
      </c>
      <c r="AA48" s="39">
        <v>0.78864880714597085</v>
      </c>
      <c r="AB48" s="39">
        <v>0.18823537748266692</v>
      </c>
      <c r="AC48" s="38">
        <v>1.7661586523846575</v>
      </c>
      <c r="AD48" s="38">
        <v>8.8047937080947096E-3</v>
      </c>
      <c r="AE48" s="40">
        <v>334.38854515081846</v>
      </c>
      <c r="AF48" s="40">
        <v>14.356626446288113</v>
      </c>
      <c r="AG48" s="40">
        <v>1634.6944192359856</v>
      </c>
      <c r="AH48" s="40">
        <v>6.1569975474499543</v>
      </c>
      <c r="AI48" s="43">
        <v>0</v>
      </c>
      <c r="AJ48" s="32" t="s">
        <v>68</v>
      </c>
    </row>
    <row r="49" spans="1:36" ht="48" x14ac:dyDescent="0.2">
      <c r="A49" s="35">
        <v>3</v>
      </c>
      <c r="B49" s="35">
        <v>2</v>
      </c>
      <c r="C49" s="26" t="s">
        <v>45</v>
      </c>
      <c r="D49" s="8">
        <v>95</v>
      </c>
      <c r="E49" s="35">
        <v>95</v>
      </c>
      <c r="F49" s="35">
        <v>0</v>
      </c>
      <c r="G49" s="26" t="s">
        <v>67</v>
      </c>
      <c r="H49" s="25">
        <v>44338.933391203704</v>
      </c>
      <c r="I49" s="25">
        <v>44340.75</v>
      </c>
      <c r="J49" s="25">
        <v>44340.941666666666</v>
      </c>
      <c r="K49" s="25">
        <v>44340.941666666666</v>
      </c>
      <c r="L49" s="8">
        <v>48.886738999999999</v>
      </c>
      <c r="M49" s="8">
        <v>-14.756997</v>
      </c>
      <c r="N49" s="8"/>
      <c r="O49" s="8"/>
      <c r="P49" s="28" t="s">
        <v>47</v>
      </c>
      <c r="Q49" s="28" t="s">
        <v>47</v>
      </c>
      <c r="R49" s="8">
        <v>48.806024000000001</v>
      </c>
      <c r="S49" s="8">
        <v>-14.730060999999999</v>
      </c>
      <c r="T49" s="42" t="s">
        <v>40</v>
      </c>
      <c r="U49" s="39">
        <v>6.206914989104412</v>
      </c>
      <c r="V49" s="39">
        <v>1.533880194908853</v>
      </c>
      <c r="W49" s="37">
        <v>0.44541020033983442</v>
      </c>
      <c r="X49" s="37">
        <v>2.2649621317619655E-2</v>
      </c>
      <c r="Y49" s="39">
        <v>5.7615047887645776</v>
      </c>
      <c r="Z49" s="39">
        <v>1.534047410505768</v>
      </c>
      <c r="AA49" s="39">
        <v>0.34020969916812188</v>
      </c>
      <c r="AB49" s="39">
        <v>0.18791946679983401</v>
      </c>
      <c r="AC49" s="38">
        <v>1.6291708927844808</v>
      </c>
      <c r="AD49" s="38">
        <v>8.7500230291471682E-3</v>
      </c>
      <c r="AE49" s="40">
        <v>312.94604569424558</v>
      </c>
      <c r="AF49" s="40">
        <v>14.643869748185701</v>
      </c>
      <c r="AG49" s="40">
        <v>1724.6159808583775</v>
      </c>
      <c r="AH49" s="40">
        <v>8.1211905846668202</v>
      </c>
      <c r="AI49" s="43">
        <v>0</v>
      </c>
      <c r="AJ49" s="32" t="s">
        <v>68</v>
      </c>
    </row>
    <row r="50" spans="1:36" ht="16" x14ac:dyDescent="0.2">
      <c r="A50" s="35">
        <v>3</v>
      </c>
      <c r="B50" s="35">
        <v>2</v>
      </c>
      <c r="C50" s="26" t="s">
        <v>49</v>
      </c>
      <c r="D50" s="8">
        <v>145</v>
      </c>
      <c r="E50" s="35">
        <v>145</v>
      </c>
      <c r="F50" s="35">
        <v>0</v>
      </c>
      <c r="G50" s="26" t="s">
        <v>67</v>
      </c>
      <c r="H50" s="25">
        <v>44338.933391203704</v>
      </c>
      <c r="I50" s="25">
        <v>44340.75</v>
      </c>
      <c r="J50" s="25">
        <v>44340.948611111111</v>
      </c>
      <c r="K50" s="25">
        <v>44340.948611111111</v>
      </c>
      <c r="L50" s="8">
        <v>48.886738999999999</v>
      </c>
      <c r="M50" s="8">
        <v>-14.756997</v>
      </c>
      <c r="N50" s="8"/>
      <c r="O50" s="8"/>
      <c r="P50" s="28" t="s">
        <v>47</v>
      </c>
      <c r="Q50" s="28" t="s">
        <v>47</v>
      </c>
      <c r="R50" s="8">
        <v>48.806024000000001</v>
      </c>
      <c r="S50" s="8">
        <v>-14.730060999999999</v>
      </c>
      <c r="T50" s="42" t="s">
        <v>38</v>
      </c>
      <c r="U50" s="9" t="s">
        <v>63</v>
      </c>
      <c r="V50" s="9" t="s">
        <v>63</v>
      </c>
      <c r="W50" s="37">
        <v>2.4816652552371479</v>
      </c>
      <c r="X50" s="37">
        <v>5.4508142605862724E-2</v>
      </c>
      <c r="Y50" s="11" t="s">
        <v>63</v>
      </c>
      <c r="Z50" s="9" t="s">
        <v>63</v>
      </c>
      <c r="AA50" s="10" t="s">
        <v>63</v>
      </c>
      <c r="AB50" s="9" t="s">
        <v>63</v>
      </c>
      <c r="AC50" s="38">
        <v>4.6983348095831605</v>
      </c>
      <c r="AD50" s="38">
        <v>1.0494088251822294E-2</v>
      </c>
      <c r="AE50" s="40">
        <v>854.57969510937414</v>
      </c>
      <c r="AF50" s="40">
        <v>14.350925285639175</v>
      </c>
      <c r="AG50" s="40">
        <v>4954.7320854674354</v>
      </c>
      <c r="AH50" s="40">
        <v>2.1646480509128629</v>
      </c>
      <c r="AI50" s="36">
        <v>0</v>
      </c>
      <c r="AJ50" s="45"/>
    </row>
    <row r="51" spans="1:36" ht="16" x14ac:dyDescent="0.2">
      <c r="A51" s="35">
        <v>3</v>
      </c>
      <c r="B51" s="35">
        <v>2</v>
      </c>
      <c r="C51" s="26" t="s">
        <v>49</v>
      </c>
      <c r="D51" s="8">
        <v>145</v>
      </c>
      <c r="E51" s="35">
        <v>145</v>
      </c>
      <c r="F51" s="35">
        <v>0</v>
      </c>
      <c r="G51" s="26" t="s">
        <v>67</v>
      </c>
      <c r="H51" s="25">
        <v>44338.933391203704</v>
      </c>
      <c r="I51" s="25">
        <v>44340.75</v>
      </c>
      <c r="J51" s="25">
        <v>44340.948611111111</v>
      </c>
      <c r="K51" s="25">
        <v>44340.948611111111</v>
      </c>
      <c r="L51" s="8">
        <v>48.886738999999999</v>
      </c>
      <c r="M51" s="8">
        <v>-14.756997</v>
      </c>
      <c r="N51" s="8"/>
      <c r="O51" s="8"/>
      <c r="P51" s="28" t="s">
        <v>47</v>
      </c>
      <c r="Q51" s="28" t="s">
        <v>47</v>
      </c>
      <c r="R51" s="8">
        <v>48.806024000000001</v>
      </c>
      <c r="S51" s="8">
        <v>-14.730060999999999</v>
      </c>
      <c r="T51" s="42" t="s">
        <v>39</v>
      </c>
      <c r="U51" s="39">
        <v>12.030035701097848</v>
      </c>
      <c r="V51" s="39">
        <v>1.4775038420384528</v>
      </c>
      <c r="W51" s="37">
        <v>2.2802398363772993</v>
      </c>
      <c r="X51" s="37">
        <v>7.4879069716889055E-2</v>
      </c>
      <c r="Y51" s="39">
        <v>9.7497958647205483</v>
      </c>
      <c r="Z51" s="39">
        <v>1.4794000399892031</v>
      </c>
      <c r="AA51" s="39">
        <v>0.86965711407800916</v>
      </c>
      <c r="AB51" s="39">
        <v>0.18774323983482386</v>
      </c>
      <c r="AC51" s="38">
        <v>4.9122496816300858</v>
      </c>
      <c r="AD51" s="38">
        <v>1.0138917392423041E-2</v>
      </c>
      <c r="AE51" s="40">
        <v>947.21647523898037</v>
      </c>
      <c r="AF51" s="40">
        <v>14.357941777261903</v>
      </c>
      <c r="AG51" s="40">
        <v>5200.8682610905689</v>
      </c>
      <c r="AH51" s="40">
        <v>3.6663744690573985</v>
      </c>
      <c r="AI51" s="36">
        <v>0</v>
      </c>
      <c r="AJ51" s="36"/>
    </row>
    <row r="52" spans="1:36" ht="16" x14ac:dyDescent="0.2">
      <c r="A52" s="35">
        <v>3</v>
      </c>
      <c r="B52" s="35">
        <v>2</v>
      </c>
      <c r="C52" s="26" t="s">
        <v>49</v>
      </c>
      <c r="D52" s="8">
        <v>145</v>
      </c>
      <c r="E52" s="35">
        <v>145</v>
      </c>
      <c r="F52" s="35">
        <v>0</v>
      </c>
      <c r="G52" s="26" t="s">
        <v>67</v>
      </c>
      <c r="H52" s="25">
        <v>44338.933391203704</v>
      </c>
      <c r="I52" s="25">
        <v>44340.75</v>
      </c>
      <c r="J52" s="25">
        <v>44340.948611111111</v>
      </c>
      <c r="K52" s="25">
        <v>44340.948611111111</v>
      </c>
      <c r="L52" s="8">
        <v>48.886738999999999</v>
      </c>
      <c r="M52" s="8">
        <v>-14.756997</v>
      </c>
      <c r="N52" s="8"/>
      <c r="O52" s="8"/>
      <c r="P52" s="28" t="s">
        <v>47</v>
      </c>
      <c r="Q52" s="28" t="s">
        <v>47</v>
      </c>
      <c r="R52" s="8">
        <v>48.806024000000001</v>
      </c>
      <c r="S52" s="8">
        <v>-14.730060999999999</v>
      </c>
      <c r="T52" s="42" t="s">
        <v>40</v>
      </c>
      <c r="U52" s="39">
        <v>12.375102396050469</v>
      </c>
      <c r="V52" s="39">
        <v>1.5668212427252588</v>
      </c>
      <c r="W52" s="37">
        <v>1.088501214485835</v>
      </c>
      <c r="X52" s="37">
        <v>2.4737774738887715E-2</v>
      </c>
      <c r="Y52" s="39">
        <v>11.286601181564635</v>
      </c>
      <c r="Z52" s="39">
        <v>1.5670165168734362</v>
      </c>
      <c r="AA52" s="39">
        <v>3.0253100712589021</v>
      </c>
      <c r="AB52" s="39">
        <v>0.189546532676025</v>
      </c>
      <c r="AC52" s="38">
        <v>4.95827747895519</v>
      </c>
      <c r="AD52" s="38">
        <v>9.9820107348413192E-3</v>
      </c>
      <c r="AE52" s="40">
        <v>949.1599041927484</v>
      </c>
      <c r="AF52" s="40">
        <v>14.376343774861903</v>
      </c>
      <c r="AG52" s="40">
        <v>4677.2762897461516</v>
      </c>
      <c r="AH52" s="40">
        <v>4.7404229393787922</v>
      </c>
      <c r="AI52" s="36">
        <v>0</v>
      </c>
      <c r="AJ52" s="36"/>
    </row>
    <row r="53" spans="1:36" ht="16" x14ac:dyDescent="0.2">
      <c r="A53" s="35">
        <v>3</v>
      </c>
      <c r="B53" s="35">
        <v>2</v>
      </c>
      <c r="C53" s="26" t="s">
        <v>51</v>
      </c>
      <c r="D53" s="8">
        <v>195</v>
      </c>
      <c r="E53" s="35">
        <v>195</v>
      </c>
      <c r="F53" s="35">
        <v>0</v>
      </c>
      <c r="G53" s="26" t="s">
        <v>67</v>
      </c>
      <c r="H53" s="25">
        <v>44338.933391203704</v>
      </c>
      <c r="I53" s="25">
        <v>44340.75</v>
      </c>
      <c r="J53" s="25">
        <v>44340.954861111109</v>
      </c>
      <c r="K53" s="25">
        <v>44340.954861111109</v>
      </c>
      <c r="L53" s="8">
        <v>48.886738999999999</v>
      </c>
      <c r="M53" s="8">
        <v>-14.756997</v>
      </c>
      <c r="N53" s="8"/>
      <c r="O53" s="8"/>
      <c r="P53" s="28" t="s">
        <v>47</v>
      </c>
      <c r="Q53" s="28" t="s">
        <v>47</v>
      </c>
      <c r="R53" s="8">
        <v>48.806024000000001</v>
      </c>
      <c r="S53" s="8">
        <v>-14.730060999999999</v>
      </c>
      <c r="T53" s="42" t="s">
        <v>38</v>
      </c>
      <c r="U53" s="39">
        <v>14.602559098921445</v>
      </c>
      <c r="V53" s="39">
        <v>1.3430167494048031</v>
      </c>
      <c r="W53" s="37">
        <v>1.5674627922352788</v>
      </c>
      <c r="X53" s="37">
        <v>3.4389289070042843E-2</v>
      </c>
      <c r="Y53" s="39">
        <v>13.035096306686166</v>
      </c>
      <c r="Z53" s="39">
        <v>1.3434569633540878</v>
      </c>
      <c r="AA53" s="39">
        <v>1.4529191122687903</v>
      </c>
      <c r="AB53" s="39">
        <v>0.20538278768040408</v>
      </c>
      <c r="AC53" s="38">
        <v>4.3994672711324352</v>
      </c>
      <c r="AD53" s="38">
        <v>1.0910828968806366E-2</v>
      </c>
      <c r="AE53" s="40">
        <v>715.39779153702591</v>
      </c>
      <c r="AF53" s="40">
        <v>14.346428542345921</v>
      </c>
      <c r="AG53" s="40">
        <v>4422.1184125459895</v>
      </c>
      <c r="AH53" s="40">
        <v>3.4228829663069127</v>
      </c>
      <c r="AI53" s="36">
        <v>0</v>
      </c>
      <c r="AJ53" s="36"/>
    </row>
    <row r="54" spans="1:36" ht="16" x14ac:dyDescent="0.2">
      <c r="A54" s="35">
        <v>3</v>
      </c>
      <c r="B54" s="35">
        <v>2</v>
      </c>
      <c r="C54" s="26" t="s">
        <v>51</v>
      </c>
      <c r="D54" s="8">
        <v>195</v>
      </c>
      <c r="E54" s="35">
        <v>195</v>
      </c>
      <c r="F54" s="35">
        <v>0</v>
      </c>
      <c r="G54" s="26" t="s">
        <v>67</v>
      </c>
      <c r="H54" s="25">
        <v>44338.933391203704</v>
      </c>
      <c r="I54" s="25">
        <v>44340.75</v>
      </c>
      <c r="J54" s="25">
        <v>44340.954861111109</v>
      </c>
      <c r="K54" s="25">
        <v>44340.954861111109</v>
      </c>
      <c r="L54" s="8">
        <v>48.886738999999999</v>
      </c>
      <c r="M54" s="8">
        <v>-14.756997</v>
      </c>
      <c r="N54" s="8"/>
      <c r="O54" s="8"/>
      <c r="P54" s="28" t="s">
        <v>47</v>
      </c>
      <c r="Q54" s="28" t="s">
        <v>47</v>
      </c>
      <c r="R54" s="8">
        <v>48.806024000000001</v>
      </c>
      <c r="S54" s="8">
        <v>-14.730060999999999</v>
      </c>
      <c r="T54" s="42" t="s">
        <v>39</v>
      </c>
      <c r="U54" s="39">
        <v>15.489962311330528</v>
      </c>
      <c r="V54" s="39">
        <v>1.5239704422293285</v>
      </c>
      <c r="W54" s="37">
        <v>1.5190246766290232</v>
      </c>
      <c r="X54" s="37">
        <v>6.3260670695314505E-2</v>
      </c>
      <c r="Y54" s="39">
        <v>13.970937634701505</v>
      </c>
      <c r="Z54" s="39">
        <v>1.5252828659778082</v>
      </c>
      <c r="AA54" s="39">
        <v>2.3304096614799037</v>
      </c>
      <c r="AB54" s="39">
        <v>0.18858411771492789</v>
      </c>
      <c r="AC54" s="38">
        <v>4.2982904412752294</v>
      </c>
      <c r="AD54" s="38">
        <v>9.8326497778375953E-3</v>
      </c>
      <c r="AE54" s="40">
        <v>752.93836082731036</v>
      </c>
      <c r="AF54" s="40">
        <v>14.361448737570496</v>
      </c>
      <c r="AG54" s="40">
        <v>4536.5126612332442</v>
      </c>
      <c r="AH54" s="40">
        <v>2.2983994121062201</v>
      </c>
      <c r="AI54" s="36">
        <v>0</v>
      </c>
      <c r="AJ54" s="36"/>
    </row>
    <row r="55" spans="1:36" ht="16" x14ac:dyDescent="0.2">
      <c r="A55" s="35">
        <v>3</v>
      </c>
      <c r="B55" s="35">
        <v>2</v>
      </c>
      <c r="C55" s="26" t="s">
        <v>51</v>
      </c>
      <c r="D55" s="8">
        <v>195</v>
      </c>
      <c r="E55" s="35">
        <v>195</v>
      </c>
      <c r="F55" s="35">
        <v>0</v>
      </c>
      <c r="G55" s="26" t="s">
        <v>67</v>
      </c>
      <c r="H55" s="25">
        <v>44338.933391203704</v>
      </c>
      <c r="I55" s="25">
        <v>44340.75</v>
      </c>
      <c r="J55" s="25">
        <v>44340.954861111109</v>
      </c>
      <c r="K55" s="25">
        <v>44340.954861111109</v>
      </c>
      <c r="L55" s="8">
        <v>48.886738999999999</v>
      </c>
      <c r="M55" s="8">
        <v>-14.756997</v>
      </c>
      <c r="N55" s="8"/>
      <c r="O55" s="8"/>
      <c r="P55" s="28" t="s">
        <v>47</v>
      </c>
      <c r="Q55" s="28" t="s">
        <v>47</v>
      </c>
      <c r="R55" s="8">
        <v>48.806024000000001</v>
      </c>
      <c r="S55" s="8">
        <v>-14.730060999999999</v>
      </c>
      <c r="T55" s="42" t="s">
        <v>40</v>
      </c>
      <c r="U55" s="39">
        <v>14.113265711872565</v>
      </c>
      <c r="V55" s="39">
        <v>1.5361678615153007</v>
      </c>
      <c r="W55" s="37">
        <v>1.6539134747119921</v>
      </c>
      <c r="X55" s="37">
        <v>2.7284192833031587E-2</v>
      </c>
      <c r="Y55" s="39">
        <v>12.459352237160573</v>
      </c>
      <c r="Z55" s="39">
        <v>1.5364101424850858</v>
      </c>
      <c r="AA55" s="39">
        <v>1.3841786492684525</v>
      </c>
      <c r="AB55" s="39">
        <v>0.18835558705293429</v>
      </c>
      <c r="AC55" s="38">
        <v>4.2041004856182642</v>
      </c>
      <c r="AD55" s="38">
        <v>9.7785179570943903E-3</v>
      </c>
      <c r="AE55" s="40">
        <v>749.53736015821642</v>
      </c>
      <c r="AF55" s="40">
        <v>14.356516829933968</v>
      </c>
      <c r="AG55" s="40">
        <v>4487.736458629096</v>
      </c>
      <c r="AH55" s="40">
        <v>4.8902154344257145</v>
      </c>
      <c r="AI55" s="36">
        <v>0</v>
      </c>
      <c r="AJ55" s="36"/>
    </row>
    <row r="56" spans="1:36" ht="16" x14ac:dyDescent="0.2">
      <c r="A56" s="35">
        <v>3</v>
      </c>
      <c r="B56" s="35">
        <v>2</v>
      </c>
      <c r="C56" s="26" t="s">
        <v>52</v>
      </c>
      <c r="D56" s="8">
        <v>330</v>
      </c>
      <c r="E56" s="35">
        <v>330</v>
      </c>
      <c r="F56" s="35">
        <v>0</v>
      </c>
      <c r="G56" s="26" t="s">
        <v>67</v>
      </c>
      <c r="H56" s="25">
        <v>44338.933391203704</v>
      </c>
      <c r="I56" s="25">
        <v>44340.75</v>
      </c>
      <c r="J56" s="25">
        <v>44340.964583333334</v>
      </c>
      <c r="K56" s="25">
        <v>44340.964583333334</v>
      </c>
      <c r="L56" s="8">
        <v>48.886738999999999</v>
      </c>
      <c r="M56" s="8">
        <v>-14.756997</v>
      </c>
      <c r="N56" s="8"/>
      <c r="O56" s="8"/>
      <c r="P56" s="28" t="s">
        <v>47</v>
      </c>
      <c r="Q56" s="28" t="s">
        <v>47</v>
      </c>
      <c r="R56" s="8">
        <v>48.806024000000001</v>
      </c>
      <c r="S56" s="8">
        <v>-14.730060999999999</v>
      </c>
      <c r="T56" s="42" t="s">
        <v>38</v>
      </c>
      <c r="U56" s="39">
        <v>8.2040437321145916</v>
      </c>
      <c r="V56" s="39">
        <v>1.3306041678591405</v>
      </c>
      <c r="W56" s="37">
        <v>0.94615312146824826</v>
      </c>
      <c r="X56" s="37">
        <v>2.8777051125817348E-2</v>
      </c>
      <c r="Y56" s="39">
        <v>7.257890610646343</v>
      </c>
      <c r="Z56" s="39">
        <v>1.330915312931523</v>
      </c>
      <c r="AA56" s="39">
        <v>0.58257245904035637</v>
      </c>
      <c r="AB56" s="39">
        <v>0.20534969709037462</v>
      </c>
      <c r="AC56" s="38">
        <v>2.7791155227282442</v>
      </c>
      <c r="AD56" s="38">
        <v>1.0154301287435049E-2</v>
      </c>
      <c r="AE56" s="40">
        <v>545.6068819428325</v>
      </c>
      <c r="AF56" s="40">
        <v>14.793592277061141</v>
      </c>
      <c r="AG56" s="40">
        <v>3098.7084099470844</v>
      </c>
      <c r="AH56" s="40">
        <v>5.9026820137202618</v>
      </c>
      <c r="AI56" s="36">
        <v>0</v>
      </c>
      <c r="AJ56" s="36"/>
    </row>
    <row r="57" spans="1:36" ht="16" x14ac:dyDescent="0.2">
      <c r="A57" s="35">
        <v>3</v>
      </c>
      <c r="B57" s="35">
        <v>2</v>
      </c>
      <c r="C57" s="26" t="s">
        <v>52</v>
      </c>
      <c r="D57" s="8">
        <v>330</v>
      </c>
      <c r="E57" s="35">
        <v>330</v>
      </c>
      <c r="F57" s="35">
        <v>0</v>
      </c>
      <c r="G57" s="26" t="s">
        <v>67</v>
      </c>
      <c r="H57" s="25">
        <v>44338.933391203704</v>
      </c>
      <c r="I57" s="25">
        <v>44340.75</v>
      </c>
      <c r="J57" s="25">
        <v>44340.964583333334</v>
      </c>
      <c r="K57" s="25">
        <v>44340.964583333334</v>
      </c>
      <c r="L57" s="8">
        <v>48.886738999999999</v>
      </c>
      <c r="M57" s="8">
        <v>-14.756997</v>
      </c>
      <c r="N57" s="8"/>
      <c r="O57" s="8"/>
      <c r="P57" s="28" t="s">
        <v>47</v>
      </c>
      <c r="Q57" s="28" t="s">
        <v>47</v>
      </c>
      <c r="R57" s="8">
        <v>48.806024000000001</v>
      </c>
      <c r="S57" s="8">
        <v>-14.730060999999999</v>
      </c>
      <c r="T57" s="42" t="s">
        <v>39</v>
      </c>
      <c r="U57" s="39">
        <v>7.0480700241977106</v>
      </c>
      <c r="V57" s="39">
        <v>1.4964543126366758</v>
      </c>
      <c r="W57" s="37">
        <v>0.86178473012192158</v>
      </c>
      <c r="X57" s="37">
        <v>7.3809301844492456E-2</v>
      </c>
      <c r="Y57" s="39">
        <v>6.1862852940757893</v>
      </c>
      <c r="Z57" s="39">
        <v>1.498273447287803</v>
      </c>
      <c r="AA57" s="39">
        <v>0.70439523072967103</v>
      </c>
      <c r="AB57" s="39">
        <v>0.18779922309044719</v>
      </c>
      <c r="AC57" s="38">
        <v>2.8047851723842943</v>
      </c>
      <c r="AD57" s="38">
        <v>9.2387883504384347E-3</v>
      </c>
      <c r="AE57" s="40">
        <v>447.98196749855549</v>
      </c>
      <c r="AF57" s="40">
        <v>14.38717678737299</v>
      </c>
      <c r="AG57" s="40">
        <v>2984.2880162906476</v>
      </c>
      <c r="AH57" s="40">
        <v>6.1108363123997389</v>
      </c>
      <c r="AI57" s="36">
        <v>0</v>
      </c>
      <c r="AJ57" s="36"/>
    </row>
    <row r="58" spans="1:36" ht="16" x14ac:dyDescent="0.2">
      <c r="A58" s="35">
        <v>3</v>
      </c>
      <c r="B58" s="35">
        <v>2</v>
      </c>
      <c r="C58" s="26" t="s">
        <v>52</v>
      </c>
      <c r="D58" s="8">
        <v>330</v>
      </c>
      <c r="E58" s="35">
        <v>330</v>
      </c>
      <c r="F58" s="35">
        <v>0</v>
      </c>
      <c r="G58" s="26" t="s">
        <v>67</v>
      </c>
      <c r="H58" s="25">
        <v>44338.933391203704</v>
      </c>
      <c r="I58" s="25">
        <v>44340.75</v>
      </c>
      <c r="J58" s="25">
        <v>44340.964583333334</v>
      </c>
      <c r="K58" s="25">
        <v>44340.964583333334</v>
      </c>
      <c r="L58" s="8">
        <v>48.886738999999999</v>
      </c>
      <c r="M58" s="8">
        <v>-14.756997</v>
      </c>
      <c r="N58" s="8"/>
      <c r="O58" s="8"/>
      <c r="P58" s="28" t="s">
        <v>47</v>
      </c>
      <c r="Q58" s="28" t="s">
        <v>47</v>
      </c>
      <c r="R58" s="8">
        <v>48.806024000000001</v>
      </c>
      <c r="S58" s="8">
        <v>-14.730060999999999</v>
      </c>
      <c r="T58" s="42" t="s">
        <v>40</v>
      </c>
      <c r="U58" s="39">
        <v>6.2672629177324986</v>
      </c>
      <c r="V58" s="39">
        <v>1.5360387560903168</v>
      </c>
      <c r="W58" s="37">
        <v>1.0737570539827825</v>
      </c>
      <c r="X58" s="37">
        <v>2.5139735589599643E-2</v>
      </c>
      <c r="Y58" s="39">
        <v>5.1935058637497171</v>
      </c>
      <c r="Z58" s="39">
        <v>1.5362444683438254</v>
      </c>
      <c r="AA58" s="39">
        <v>0.3607659910616835</v>
      </c>
      <c r="AB58" s="39">
        <v>0.18793816764899418</v>
      </c>
      <c r="AC58" s="38">
        <v>2.8060670192463939</v>
      </c>
      <c r="AD58" s="38">
        <v>9.2747966360814862E-3</v>
      </c>
      <c r="AE58" s="40">
        <v>492.45410005727888</v>
      </c>
      <c r="AF58" s="40">
        <v>14.368460090319704</v>
      </c>
      <c r="AG58" s="40">
        <v>3043.461707027408</v>
      </c>
      <c r="AH58" s="40">
        <v>6.2058535298945063</v>
      </c>
      <c r="AI58" s="36">
        <v>0</v>
      </c>
      <c r="AJ58" s="36"/>
    </row>
    <row r="59" spans="1:36" ht="16" x14ac:dyDescent="0.2">
      <c r="A59" s="35">
        <v>3</v>
      </c>
      <c r="B59" s="35">
        <v>2</v>
      </c>
      <c r="C59" s="26" t="s">
        <v>53</v>
      </c>
      <c r="D59" s="8">
        <v>500</v>
      </c>
      <c r="E59" s="35">
        <v>500</v>
      </c>
      <c r="F59" s="35">
        <v>0</v>
      </c>
      <c r="G59" s="26" t="s">
        <v>67</v>
      </c>
      <c r="H59" s="25">
        <v>44338.933391203704</v>
      </c>
      <c r="I59" s="25">
        <v>44340.75</v>
      </c>
      <c r="J59" s="25">
        <v>44340.973611111112</v>
      </c>
      <c r="K59" s="25">
        <v>44340.973611111112</v>
      </c>
      <c r="L59" s="8">
        <v>48.886738999999999</v>
      </c>
      <c r="M59" s="8">
        <v>-14.756997</v>
      </c>
      <c r="N59" s="8"/>
      <c r="O59" s="8"/>
      <c r="P59" s="28" t="s">
        <v>47</v>
      </c>
      <c r="Q59" s="28" t="s">
        <v>47</v>
      </c>
      <c r="R59" s="8">
        <v>48.806024000000001</v>
      </c>
      <c r="S59" s="8">
        <v>-14.730060999999999</v>
      </c>
      <c r="T59" s="42" t="s">
        <v>38</v>
      </c>
      <c r="U59" s="39">
        <v>4.0875472696977031</v>
      </c>
      <c r="V59" s="39">
        <v>1.3233176159060498</v>
      </c>
      <c r="W59" s="37">
        <v>0.51928995254365695</v>
      </c>
      <c r="X59" s="37">
        <v>2.4780732329837664E-2</v>
      </c>
      <c r="Y59" s="39">
        <v>3.5682573171540461</v>
      </c>
      <c r="Z59" s="39">
        <v>1.3235496202493031</v>
      </c>
      <c r="AA59" s="39">
        <v>9.5175235941379915E-2</v>
      </c>
      <c r="AB59" s="39">
        <v>0.20580191738134324</v>
      </c>
      <c r="AC59" s="38">
        <v>1.34075455837468</v>
      </c>
      <c r="AD59" s="38">
        <v>9.4061177074320993E-3</v>
      </c>
      <c r="AE59" s="40">
        <v>245.73579437643698</v>
      </c>
      <c r="AF59" s="40">
        <v>14.347744808213626</v>
      </c>
      <c r="AG59" s="40">
        <v>1541.39940478212</v>
      </c>
      <c r="AH59" s="40">
        <v>9.2379345729834057</v>
      </c>
      <c r="AI59" s="36">
        <v>0</v>
      </c>
      <c r="AJ59" s="36"/>
    </row>
    <row r="60" spans="1:36" ht="16" x14ac:dyDescent="0.2">
      <c r="A60" s="35">
        <v>3</v>
      </c>
      <c r="B60" s="35">
        <v>2</v>
      </c>
      <c r="C60" s="26" t="s">
        <v>53</v>
      </c>
      <c r="D60" s="8">
        <v>500</v>
      </c>
      <c r="E60" s="35">
        <v>500</v>
      </c>
      <c r="F60" s="35">
        <v>0</v>
      </c>
      <c r="G60" s="26" t="s">
        <v>67</v>
      </c>
      <c r="H60" s="25">
        <v>44338.933391203704</v>
      </c>
      <c r="I60" s="25">
        <v>44340.75</v>
      </c>
      <c r="J60" s="25">
        <v>44340.973611111112</v>
      </c>
      <c r="K60" s="25">
        <v>44340.973611111112</v>
      </c>
      <c r="L60" s="8">
        <v>48.886738999999999</v>
      </c>
      <c r="M60" s="8">
        <v>-14.756997</v>
      </c>
      <c r="N60" s="8"/>
      <c r="O60" s="8"/>
      <c r="P60" s="28" t="s">
        <v>47</v>
      </c>
      <c r="Q60" s="28" t="s">
        <v>47</v>
      </c>
      <c r="R60" s="8">
        <v>48.806024000000001</v>
      </c>
      <c r="S60" s="8">
        <v>-14.730060999999999</v>
      </c>
      <c r="T60" s="42" t="s">
        <v>39</v>
      </c>
      <c r="U60" s="39">
        <v>2.8835553958171967</v>
      </c>
      <c r="V60" s="39">
        <v>1.5192246531190559</v>
      </c>
      <c r="W60" s="37">
        <v>3.272245216663839E-2</v>
      </c>
      <c r="X60" s="37">
        <v>6.8197638064955213E-2</v>
      </c>
      <c r="Y60" s="39">
        <v>2.8508329436505582</v>
      </c>
      <c r="Z60" s="39">
        <v>1.5207545707583305</v>
      </c>
      <c r="AA60" s="39">
        <v>1.7954663140493134</v>
      </c>
      <c r="AB60" s="39">
        <v>0.18847966851676254</v>
      </c>
      <c r="AC60" s="38">
        <v>1.41521383196536</v>
      </c>
      <c r="AD60" s="38">
        <v>8.6640440246274139E-3</v>
      </c>
      <c r="AE60" s="40">
        <v>275.47025736908682</v>
      </c>
      <c r="AF60" s="40">
        <v>14.384551351681331</v>
      </c>
      <c r="AG60" s="40">
        <v>1516.4492356749608</v>
      </c>
      <c r="AH60" s="40">
        <v>7.4592201539832814</v>
      </c>
      <c r="AI60" s="36">
        <v>0</v>
      </c>
      <c r="AJ60" s="36"/>
    </row>
    <row r="61" spans="1:36" ht="16" x14ac:dyDescent="0.2">
      <c r="A61" s="35">
        <v>3</v>
      </c>
      <c r="B61" s="35">
        <v>2</v>
      </c>
      <c r="C61" s="26" t="s">
        <v>53</v>
      </c>
      <c r="D61" s="8">
        <v>500</v>
      </c>
      <c r="E61" s="35">
        <v>500</v>
      </c>
      <c r="F61" s="35">
        <v>0</v>
      </c>
      <c r="G61" s="26" t="s">
        <v>67</v>
      </c>
      <c r="H61" s="25">
        <v>44338.933391203704</v>
      </c>
      <c r="I61" s="25">
        <v>44340.75</v>
      </c>
      <c r="J61" s="25">
        <v>44340.973611111112</v>
      </c>
      <c r="K61" s="25">
        <v>44340.973611111112</v>
      </c>
      <c r="L61" s="8">
        <v>48.886738999999999</v>
      </c>
      <c r="M61" s="8">
        <v>-14.756997</v>
      </c>
      <c r="N61" s="8"/>
      <c r="O61" s="8"/>
      <c r="P61" s="28" t="s">
        <v>47</v>
      </c>
      <c r="Q61" s="28" t="s">
        <v>47</v>
      </c>
      <c r="R61" s="8">
        <v>48.806024000000001</v>
      </c>
      <c r="S61" s="8">
        <v>-14.730060999999999</v>
      </c>
      <c r="T61" s="42" t="s">
        <v>40</v>
      </c>
      <c r="U61" s="39">
        <v>3.4614158368750232</v>
      </c>
      <c r="V61" s="39">
        <v>1.529610335670224</v>
      </c>
      <c r="W61" s="37">
        <v>0.53595867951882759</v>
      </c>
      <c r="X61" s="37">
        <v>2.3908659634874894E-2</v>
      </c>
      <c r="Y61" s="39">
        <v>2.9254571573561954</v>
      </c>
      <c r="Z61" s="39">
        <v>1.5297971770776384</v>
      </c>
      <c r="AA61" s="39">
        <v>0.16473557143393561</v>
      </c>
      <c r="AB61" s="39">
        <v>0.18786537715148421</v>
      </c>
      <c r="AC61" s="38">
        <v>1.4191915193252884</v>
      </c>
      <c r="AD61" s="38">
        <v>8.7113573450607797E-3</v>
      </c>
      <c r="AE61" s="40">
        <v>236.66645925885319</v>
      </c>
      <c r="AF61" s="40">
        <v>14.356516829933973</v>
      </c>
      <c r="AG61" s="40">
        <v>1238.1630722067803</v>
      </c>
      <c r="AH61" s="40">
        <v>4.9027271530401011</v>
      </c>
      <c r="AI61" s="36">
        <v>0</v>
      </c>
      <c r="AJ61" s="36"/>
    </row>
    <row r="62" spans="1:36" ht="32" x14ac:dyDescent="0.2">
      <c r="A62" s="35">
        <v>3</v>
      </c>
      <c r="B62" s="35">
        <v>1</v>
      </c>
      <c r="C62" s="35" t="s">
        <v>36</v>
      </c>
      <c r="D62" s="8">
        <v>195</v>
      </c>
      <c r="E62" s="35">
        <v>199</v>
      </c>
      <c r="F62" s="35">
        <v>0</v>
      </c>
      <c r="G62" s="26" t="s">
        <v>69</v>
      </c>
      <c r="H62" s="25">
        <v>44339.520833333336</v>
      </c>
      <c r="I62" s="25">
        <v>44341.625</v>
      </c>
      <c r="J62" s="25">
        <v>44341.705555555556</v>
      </c>
      <c r="K62" s="25">
        <v>44341.849340277775</v>
      </c>
      <c r="L62" s="8">
        <v>48.884321999999997</v>
      </c>
      <c r="M62" s="8">
        <v>-14.769143</v>
      </c>
      <c r="N62" s="8"/>
      <c r="O62" s="8"/>
      <c r="P62" s="26">
        <v>48.923810000000003</v>
      </c>
      <c r="Q62" s="26">
        <v>-14.679040000000001</v>
      </c>
      <c r="R62" s="8">
        <v>48.917225000000002</v>
      </c>
      <c r="S62" s="8">
        <v>-14.633554</v>
      </c>
      <c r="T62" s="42" t="s">
        <v>38</v>
      </c>
      <c r="U62" s="39">
        <v>24.37694577288763</v>
      </c>
      <c r="V62" s="39">
        <v>1.219324965540608</v>
      </c>
      <c r="W62" s="37">
        <v>2.7507543591810402</v>
      </c>
      <c r="X62" s="37">
        <v>4.9115926346685844E-2</v>
      </c>
      <c r="Y62" s="39">
        <v>21.626191413706589</v>
      </c>
      <c r="Z62" s="39">
        <v>1.2203137898964749</v>
      </c>
      <c r="AA62" s="39">
        <v>2.4784642749317038</v>
      </c>
      <c r="AB62" s="39">
        <v>0.18318010729777012</v>
      </c>
      <c r="AC62" s="38">
        <v>7.3859660904280373</v>
      </c>
      <c r="AD62" s="38">
        <v>9.8283479051884826E-3</v>
      </c>
      <c r="AE62" s="40">
        <v>1387.7581932966575</v>
      </c>
      <c r="AF62" s="40">
        <v>12.40286370730894</v>
      </c>
      <c r="AG62" s="40">
        <v>7650.9364432557168</v>
      </c>
      <c r="AH62" s="40">
        <v>2.6611615516700202</v>
      </c>
      <c r="AI62" s="36">
        <v>0</v>
      </c>
      <c r="AJ62" s="32" t="s">
        <v>70</v>
      </c>
    </row>
    <row r="63" spans="1:36" ht="32" x14ac:dyDescent="0.2">
      <c r="A63" s="35">
        <v>3</v>
      </c>
      <c r="B63" s="35">
        <v>1</v>
      </c>
      <c r="C63" s="35" t="s">
        <v>36</v>
      </c>
      <c r="D63" s="8">
        <v>195</v>
      </c>
      <c r="E63" s="35">
        <v>199</v>
      </c>
      <c r="F63" s="35">
        <v>0</v>
      </c>
      <c r="G63" s="26" t="s">
        <v>69</v>
      </c>
      <c r="H63" s="25">
        <v>44339.520833333336</v>
      </c>
      <c r="I63" s="25">
        <v>44341.625</v>
      </c>
      <c r="J63" s="25">
        <v>44341.705555555556</v>
      </c>
      <c r="K63" s="25">
        <v>44341.849340277775</v>
      </c>
      <c r="L63" s="8">
        <v>48.884321999999997</v>
      </c>
      <c r="M63" s="8">
        <v>-14.769143</v>
      </c>
      <c r="N63" s="8"/>
      <c r="O63" s="8"/>
      <c r="P63" s="26">
        <v>48.923810000000003</v>
      </c>
      <c r="Q63" s="26">
        <v>-14.679040000000001</v>
      </c>
      <c r="R63" s="8">
        <v>48.917225000000002</v>
      </c>
      <c r="S63" s="8">
        <v>-14.633554</v>
      </c>
      <c r="T63" s="42" t="s">
        <v>39</v>
      </c>
      <c r="U63" s="39">
        <v>26.100958300190559</v>
      </c>
      <c r="V63" s="39">
        <v>1.3646438611222973</v>
      </c>
      <c r="W63" s="37">
        <v>3.2166723635362722</v>
      </c>
      <c r="X63" s="37">
        <v>6.239834457882372E-2</v>
      </c>
      <c r="Y63" s="39">
        <v>22.884285936654287</v>
      </c>
      <c r="Z63" s="39">
        <v>1.3660696984798943</v>
      </c>
      <c r="AA63" s="39">
        <v>2.6630966597596437</v>
      </c>
      <c r="AB63" s="39">
        <v>0.16319497463344215</v>
      </c>
      <c r="AC63" s="38">
        <v>7.3252870593905604</v>
      </c>
      <c r="AD63" s="38">
        <v>9.0191923053389422E-3</v>
      </c>
      <c r="AE63" s="40">
        <v>1580.4298876507808</v>
      </c>
      <c r="AF63" s="40">
        <v>12.403998530115601</v>
      </c>
      <c r="AG63" s="40">
        <v>7172.8964355927028</v>
      </c>
      <c r="AH63" s="40">
        <v>3.2238805585114196</v>
      </c>
      <c r="AI63" s="36">
        <v>0</v>
      </c>
      <c r="AJ63" s="32" t="s">
        <v>70</v>
      </c>
    </row>
    <row r="64" spans="1:36" ht="32" x14ac:dyDescent="0.2">
      <c r="A64" s="35">
        <v>3</v>
      </c>
      <c r="B64" s="35">
        <v>1</v>
      </c>
      <c r="C64" s="35" t="s">
        <v>36</v>
      </c>
      <c r="D64" s="8">
        <v>195</v>
      </c>
      <c r="E64" s="35">
        <v>199</v>
      </c>
      <c r="F64" s="35">
        <v>0</v>
      </c>
      <c r="G64" s="26" t="s">
        <v>69</v>
      </c>
      <c r="H64" s="25">
        <v>44339.520833333336</v>
      </c>
      <c r="I64" s="25">
        <v>44341.625</v>
      </c>
      <c r="J64" s="25">
        <v>44341.705555555556</v>
      </c>
      <c r="K64" s="25">
        <v>44341.849340277775</v>
      </c>
      <c r="L64" s="8">
        <v>48.884321999999997</v>
      </c>
      <c r="M64" s="8">
        <v>-14.769143</v>
      </c>
      <c r="N64" s="8"/>
      <c r="O64" s="8"/>
      <c r="P64" s="26">
        <v>48.923810000000003</v>
      </c>
      <c r="Q64" s="26">
        <v>-14.679040000000001</v>
      </c>
      <c r="R64" s="8">
        <v>48.917225000000002</v>
      </c>
      <c r="S64" s="8">
        <v>-14.633554</v>
      </c>
      <c r="T64" s="42" t="s">
        <v>40</v>
      </c>
      <c r="U64" s="39">
        <v>23.774349277996617</v>
      </c>
      <c r="V64" s="39">
        <v>1.2884440216495763</v>
      </c>
      <c r="W64" s="37">
        <v>3.758925337241771</v>
      </c>
      <c r="X64" s="37">
        <v>3.2705857441996847E-2</v>
      </c>
      <c r="Y64" s="39">
        <v>20.015423940754847</v>
      </c>
      <c r="Z64" s="39">
        <v>1.2888590574750793</v>
      </c>
      <c r="AA64" s="39">
        <v>2.5127105660568971</v>
      </c>
      <c r="AB64" s="39">
        <v>0.1630459965767023</v>
      </c>
      <c r="AC64" s="38">
        <v>6.0602082547884288</v>
      </c>
      <c r="AD64" s="38">
        <v>8.7691582956648112E-3</v>
      </c>
      <c r="AE64" s="40">
        <v>1533.1148648863134</v>
      </c>
      <c r="AF64" s="40">
        <v>12.398323377375153</v>
      </c>
      <c r="AG64" s="40">
        <v>7835.9313124516484</v>
      </c>
      <c r="AH64" s="40">
        <v>2.6252820467832114</v>
      </c>
      <c r="AI64" s="36">
        <v>0</v>
      </c>
      <c r="AJ64" s="32" t="s">
        <v>70</v>
      </c>
    </row>
    <row r="65" spans="1:36" ht="16" x14ac:dyDescent="0.2">
      <c r="A65" s="35">
        <v>3</v>
      </c>
      <c r="B65" s="35">
        <v>1</v>
      </c>
      <c r="C65" s="35" t="s">
        <v>71</v>
      </c>
      <c r="D65" s="8">
        <v>330</v>
      </c>
      <c r="E65" s="35">
        <v>330</v>
      </c>
      <c r="F65" s="35">
        <v>0</v>
      </c>
      <c r="G65" s="26" t="s">
        <v>72</v>
      </c>
      <c r="H65" s="25">
        <v>44339.229861111111</v>
      </c>
      <c r="I65" s="25">
        <v>44341.583333333336</v>
      </c>
      <c r="J65" s="25">
        <v>44341.69027777778</v>
      </c>
      <c r="K65" s="25">
        <v>44341.913229166668</v>
      </c>
      <c r="L65" s="8">
        <v>48.884501</v>
      </c>
      <c r="M65" s="8">
        <v>-14.768947000000001</v>
      </c>
      <c r="N65" s="8"/>
      <c r="O65" s="8"/>
      <c r="P65" s="26">
        <v>48.811900000000001</v>
      </c>
      <c r="Q65" s="26">
        <v>-14.85308</v>
      </c>
      <c r="R65" s="8">
        <v>48.806046000000002</v>
      </c>
      <c r="S65" s="8">
        <v>-14.726118</v>
      </c>
      <c r="T65" s="42" t="s">
        <v>38</v>
      </c>
      <c r="U65" s="9" t="s">
        <v>63</v>
      </c>
      <c r="V65" s="9" t="s">
        <v>63</v>
      </c>
      <c r="W65" s="37">
        <v>2.123042069221901</v>
      </c>
      <c r="X65" s="37">
        <v>3.7638428759151202E-2</v>
      </c>
      <c r="Y65" s="11" t="s">
        <v>63</v>
      </c>
      <c r="Z65" s="9" t="s">
        <v>63</v>
      </c>
      <c r="AA65" s="10" t="s">
        <v>63</v>
      </c>
      <c r="AB65" s="9" t="s">
        <v>63</v>
      </c>
      <c r="AC65" s="38">
        <v>6.0767687504637253</v>
      </c>
      <c r="AD65" s="38">
        <v>8.8802026236507858E-3</v>
      </c>
      <c r="AE65" s="40">
        <v>1023.0117323128337</v>
      </c>
      <c r="AF65" s="40">
        <v>11.08977749996534</v>
      </c>
      <c r="AG65" s="40">
        <v>5120.2632354431835</v>
      </c>
      <c r="AH65" s="40">
        <v>2.7882052653760385</v>
      </c>
      <c r="AI65" s="36">
        <v>0</v>
      </c>
      <c r="AJ65" s="32" t="s">
        <v>73</v>
      </c>
    </row>
    <row r="66" spans="1:36" ht="16" x14ac:dyDescent="0.2">
      <c r="A66" s="35">
        <v>3</v>
      </c>
      <c r="B66" s="35">
        <v>1</v>
      </c>
      <c r="C66" s="35" t="s">
        <v>71</v>
      </c>
      <c r="D66" s="8">
        <v>330</v>
      </c>
      <c r="E66" s="35">
        <v>330</v>
      </c>
      <c r="F66" s="35">
        <v>0</v>
      </c>
      <c r="G66" s="26" t="s">
        <v>72</v>
      </c>
      <c r="H66" s="25">
        <v>44339.229861111111</v>
      </c>
      <c r="I66" s="25">
        <v>44341.583333333336</v>
      </c>
      <c r="J66" s="25">
        <v>44341.69027777778</v>
      </c>
      <c r="K66" s="25">
        <v>44341.913229166668</v>
      </c>
      <c r="L66" s="8">
        <v>48.884501</v>
      </c>
      <c r="M66" s="8">
        <v>-14.768947000000001</v>
      </c>
      <c r="N66" s="8"/>
      <c r="O66" s="8"/>
      <c r="P66" s="26">
        <v>48.811900000000001</v>
      </c>
      <c r="Q66" s="26">
        <v>-14.85308</v>
      </c>
      <c r="R66" s="8">
        <v>48.806046000000002</v>
      </c>
      <c r="S66" s="8">
        <v>-14.726118</v>
      </c>
      <c r="T66" s="42" t="s">
        <v>39</v>
      </c>
      <c r="U66" s="39">
        <v>16.322278967318741</v>
      </c>
      <c r="V66" s="39">
        <v>1.1902277488359649</v>
      </c>
      <c r="W66" s="37">
        <v>1.3521069448951737</v>
      </c>
      <c r="X66" s="37">
        <v>5.9162681658511185E-2</v>
      </c>
      <c r="Y66" s="39">
        <v>14.970172022423569</v>
      </c>
      <c r="Z66" s="39">
        <v>1.1916972421719181</v>
      </c>
      <c r="AA66" s="39">
        <v>3.841713300029773</v>
      </c>
      <c r="AB66" s="39">
        <v>0.14707441473278413</v>
      </c>
      <c r="AC66" s="38">
        <v>6.000486101243065</v>
      </c>
      <c r="AD66" s="38">
        <v>8.5345130495606408E-3</v>
      </c>
      <c r="AE66" s="40">
        <v>1012.4610096982494</v>
      </c>
      <c r="AF66" s="40">
        <v>11.085380085585555</v>
      </c>
      <c r="AG66" s="40">
        <v>5744.6574351860127</v>
      </c>
      <c r="AH66" s="40">
        <v>2.6214380230441625</v>
      </c>
      <c r="AI66" s="36">
        <v>0</v>
      </c>
      <c r="AJ66" s="32" t="s">
        <v>73</v>
      </c>
    </row>
    <row r="67" spans="1:36" ht="16" x14ac:dyDescent="0.2">
      <c r="A67" s="35">
        <v>3</v>
      </c>
      <c r="B67" s="35">
        <v>1</v>
      </c>
      <c r="C67" s="35" t="s">
        <v>71</v>
      </c>
      <c r="D67" s="8">
        <v>330</v>
      </c>
      <c r="E67" s="35">
        <v>330</v>
      </c>
      <c r="F67" s="35">
        <v>0</v>
      </c>
      <c r="G67" s="26" t="s">
        <v>72</v>
      </c>
      <c r="H67" s="25">
        <v>44339.229861111111</v>
      </c>
      <c r="I67" s="25">
        <v>44341.583333333336</v>
      </c>
      <c r="J67" s="25">
        <v>44341.69027777778</v>
      </c>
      <c r="K67" s="25">
        <v>44341.913229166668</v>
      </c>
      <c r="L67" s="8">
        <v>48.884501</v>
      </c>
      <c r="M67" s="8">
        <v>-14.768947000000001</v>
      </c>
      <c r="N67" s="8"/>
      <c r="O67" s="8"/>
      <c r="P67" s="26">
        <v>48.811900000000001</v>
      </c>
      <c r="Q67" s="26">
        <v>-14.85308</v>
      </c>
      <c r="R67" s="8">
        <v>48.806046000000002</v>
      </c>
      <c r="S67" s="8">
        <v>-14.726118</v>
      </c>
      <c r="T67" s="42" t="s">
        <v>40</v>
      </c>
      <c r="U67" s="39">
        <v>17.015309839828159</v>
      </c>
      <c r="V67" s="39">
        <v>1.1971824289731494</v>
      </c>
      <c r="W67" s="37">
        <v>1.8971642098086943</v>
      </c>
      <c r="X67" s="37">
        <v>2.1875959732626609E-2</v>
      </c>
      <c r="Y67" s="39">
        <v>15.118145630019464</v>
      </c>
      <c r="Z67" s="39">
        <v>1.1973822805838883</v>
      </c>
      <c r="AA67" s="39">
        <v>1.7092449914120689</v>
      </c>
      <c r="AB67" s="39">
        <v>0.14570937647447135</v>
      </c>
      <c r="AC67" s="38">
        <v>5.9646994284264432</v>
      </c>
      <c r="AD67" s="38">
        <v>8.41313552601098E-3</v>
      </c>
      <c r="AE67" s="40">
        <v>1087.4661467687529</v>
      </c>
      <c r="AF67" s="40">
        <v>11.076241415785681</v>
      </c>
      <c r="AG67" s="40">
        <v>5338.2446756662594</v>
      </c>
      <c r="AH67" s="40">
        <v>2.6973174776741282</v>
      </c>
      <c r="AI67" s="36">
        <v>0</v>
      </c>
      <c r="AJ67" s="32" t="s">
        <v>73</v>
      </c>
    </row>
    <row r="68" spans="1:36" ht="32" x14ac:dyDescent="0.2">
      <c r="A68" s="35">
        <v>3</v>
      </c>
      <c r="B68" s="35">
        <v>1</v>
      </c>
      <c r="C68" s="35" t="s">
        <v>74</v>
      </c>
      <c r="D68" s="19">
        <v>500</v>
      </c>
      <c r="E68" s="41">
        <v>502</v>
      </c>
      <c r="F68" s="35">
        <v>0</v>
      </c>
      <c r="G68" s="26" t="s">
        <v>75</v>
      </c>
      <c r="H68" s="25">
        <v>44339.13958333333</v>
      </c>
      <c r="I68" s="25">
        <v>44341.888888888891</v>
      </c>
      <c r="J68" s="25">
        <v>44341.668055555558</v>
      </c>
      <c r="K68" s="25">
        <v>44341.888923611114</v>
      </c>
      <c r="L68" s="8">
        <v>48.884616999999999</v>
      </c>
      <c r="M68" s="8">
        <v>-14.768558000000001</v>
      </c>
      <c r="N68" s="8"/>
      <c r="O68" s="8"/>
      <c r="P68" s="26">
        <v>48.846789999999999</v>
      </c>
      <c r="Q68" s="26">
        <v>-14.815250000000001</v>
      </c>
      <c r="R68" s="8">
        <v>48.857812000000003</v>
      </c>
      <c r="S68" s="8">
        <v>-14.736414</v>
      </c>
      <c r="T68" s="42" t="s">
        <v>38</v>
      </c>
      <c r="U68" s="39">
        <v>8.2639914820366389</v>
      </c>
      <c r="V68" s="39">
        <v>0.89617030711590595</v>
      </c>
      <c r="W68" s="37">
        <v>0.70346292606047678</v>
      </c>
      <c r="X68" s="37">
        <v>1.9283304600783514E-2</v>
      </c>
      <c r="Y68" s="39">
        <v>7.5605285559761626</v>
      </c>
      <c r="Z68" s="39">
        <v>0.89637774693069205</v>
      </c>
      <c r="AA68" s="39">
        <v>0.84192269987235957</v>
      </c>
      <c r="AB68" s="39">
        <v>0.14205746775781788</v>
      </c>
      <c r="AC68" s="38">
        <v>2.2915101746473221</v>
      </c>
      <c r="AD68" s="38">
        <v>6.5857610730131241E-3</v>
      </c>
      <c r="AE68" s="40">
        <v>416.0063421465872</v>
      </c>
      <c r="AF68" s="40">
        <v>9.4809515021217798</v>
      </c>
      <c r="AG68" s="40">
        <v>2021.7864515738399</v>
      </c>
      <c r="AH68" s="40">
        <v>1.5415715944605055</v>
      </c>
      <c r="AI68" s="36">
        <v>3</v>
      </c>
      <c r="AJ68" s="34" t="s">
        <v>76</v>
      </c>
    </row>
    <row r="69" spans="1:36" ht="32" x14ac:dyDescent="0.2">
      <c r="A69" s="35">
        <v>3</v>
      </c>
      <c r="B69" s="35">
        <v>1</v>
      </c>
      <c r="C69" s="35" t="s">
        <v>74</v>
      </c>
      <c r="D69" s="19">
        <v>500</v>
      </c>
      <c r="E69" s="41">
        <v>502</v>
      </c>
      <c r="F69" s="35">
        <v>0</v>
      </c>
      <c r="G69" s="26" t="s">
        <v>75</v>
      </c>
      <c r="H69" s="25">
        <v>44339.13958333333</v>
      </c>
      <c r="I69" s="25">
        <v>44341.888888888891</v>
      </c>
      <c r="J69" s="25">
        <v>44341.668055555558</v>
      </c>
      <c r="K69" s="25">
        <v>44341.888923611114</v>
      </c>
      <c r="L69" s="8">
        <v>48.884616999999999</v>
      </c>
      <c r="M69" s="8">
        <v>-14.768558000000001</v>
      </c>
      <c r="N69" s="8"/>
      <c r="O69" s="8"/>
      <c r="P69" s="26">
        <v>48.846789999999999</v>
      </c>
      <c r="Q69" s="26">
        <v>-14.815250000000001</v>
      </c>
      <c r="R69" s="8">
        <v>48.857812000000003</v>
      </c>
      <c r="S69" s="8">
        <v>-14.736414</v>
      </c>
      <c r="T69" s="42" t="s">
        <v>39</v>
      </c>
      <c r="U69" s="39">
        <v>7.2637493418171122</v>
      </c>
      <c r="V69" s="39">
        <v>0.97719930671164412</v>
      </c>
      <c r="W69" s="37">
        <v>0.52019910591991392</v>
      </c>
      <c r="X69" s="37">
        <v>1.566342912743621E-2</v>
      </c>
      <c r="Y69" s="39">
        <v>6.7435502358971986</v>
      </c>
      <c r="Z69" s="39">
        <v>0.97732483241230916</v>
      </c>
      <c r="AA69" s="39">
        <v>0.67159352585430832</v>
      </c>
      <c r="AB69" s="39">
        <v>0.12407173962903097</v>
      </c>
      <c r="AC69" s="38">
        <v>2.3216571810049662</v>
      </c>
      <c r="AD69" s="38">
        <v>6.3165725158391625E-3</v>
      </c>
      <c r="AE69" s="40">
        <v>409.88534954525005</v>
      </c>
      <c r="AF69" s="40">
        <v>9.4809515021217798</v>
      </c>
      <c r="AG69" s="40">
        <v>2117.2140611129953</v>
      </c>
      <c r="AH69" s="40">
        <v>3.4361974824653667</v>
      </c>
      <c r="AI69" s="36">
        <v>3</v>
      </c>
      <c r="AJ69" s="34" t="s">
        <v>76</v>
      </c>
    </row>
    <row r="70" spans="1:36" ht="32" x14ac:dyDescent="0.2">
      <c r="A70" s="35">
        <v>3</v>
      </c>
      <c r="B70" s="35">
        <v>1</v>
      </c>
      <c r="C70" s="35" t="s">
        <v>74</v>
      </c>
      <c r="D70" s="19">
        <v>500</v>
      </c>
      <c r="E70" s="41">
        <v>502</v>
      </c>
      <c r="F70" s="35">
        <v>0</v>
      </c>
      <c r="G70" s="26" t="s">
        <v>75</v>
      </c>
      <c r="H70" s="25">
        <v>44339.13958333333</v>
      </c>
      <c r="I70" s="25">
        <v>44341.888888888891</v>
      </c>
      <c r="J70" s="25">
        <v>44341.668055555558</v>
      </c>
      <c r="K70" s="25">
        <v>44341.888923611114</v>
      </c>
      <c r="L70" s="8">
        <v>48.884616999999999</v>
      </c>
      <c r="M70" s="8">
        <v>-14.768558000000001</v>
      </c>
      <c r="N70" s="8"/>
      <c r="O70" s="8"/>
      <c r="P70" s="26">
        <v>48.846789999999999</v>
      </c>
      <c r="Q70" s="26">
        <v>-14.815250000000001</v>
      </c>
      <c r="R70" s="8">
        <v>48.857812000000003</v>
      </c>
      <c r="S70" s="8">
        <v>-14.736414</v>
      </c>
      <c r="T70" s="42" t="s">
        <v>40</v>
      </c>
      <c r="U70" s="39">
        <v>9.8624552659495226</v>
      </c>
      <c r="V70" s="39">
        <v>1.0094105709515879</v>
      </c>
      <c r="W70" s="37">
        <v>0.82232421297240021</v>
      </c>
      <c r="X70" s="37">
        <v>1.6524637759704572E-2</v>
      </c>
      <c r="Y70" s="39">
        <v>9.0401310529771219</v>
      </c>
      <c r="Z70" s="39">
        <v>1.0095458208530708</v>
      </c>
      <c r="AA70" s="39">
        <v>1.0951141447737087</v>
      </c>
      <c r="AB70" s="39">
        <v>0.1245046461734939</v>
      </c>
      <c r="AC70" s="38">
        <v>2.0385298534871961</v>
      </c>
      <c r="AD70" s="38">
        <v>6.1817776472560971E-3</v>
      </c>
      <c r="AE70" s="40">
        <v>408.87945215971575</v>
      </c>
      <c r="AF70" s="40">
        <v>9.4881231993324437</v>
      </c>
      <c r="AG70" s="40">
        <v>1655.3326141091061</v>
      </c>
      <c r="AH70" s="40">
        <v>3.9287069217180908</v>
      </c>
      <c r="AI70" s="36">
        <v>3</v>
      </c>
      <c r="AJ70" s="34" t="s">
        <v>76</v>
      </c>
    </row>
    <row r="71" spans="1:36" x14ac:dyDescent="0.2">
      <c r="E71" s="1"/>
      <c r="H71" s="6"/>
      <c r="I71" s="6"/>
      <c r="J71" s="6"/>
      <c r="K71" s="6"/>
      <c r="L71" s="7"/>
      <c r="M71" s="7"/>
      <c r="N71" s="1"/>
      <c r="O71" s="1"/>
      <c r="P71" s="7"/>
      <c r="Q71" s="7"/>
      <c r="R71" s="7"/>
      <c r="S71" s="7"/>
    </row>
    <row r="72" spans="1:36" x14ac:dyDescent="0.2">
      <c r="E72" s="1"/>
      <c r="H72" s="6"/>
      <c r="I72" s="6"/>
      <c r="J72" s="6"/>
      <c r="K72" s="6"/>
      <c r="L72" s="7"/>
      <c r="M72" s="7"/>
      <c r="N72" s="1"/>
      <c r="O72" s="1"/>
      <c r="P72" s="7"/>
      <c r="Q72" s="7"/>
      <c r="R72" s="7"/>
      <c r="S72" s="7"/>
    </row>
    <row r="73" spans="1:36" x14ac:dyDescent="0.2">
      <c r="E73" s="1"/>
      <c r="H73" s="6"/>
      <c r="I73" s="6"/>
      <c r="J73" s="6"/>
      <c r="K73" s="6"/>
      <c r="L73" s="7"/>
      <c r="M73" s="7"/>
      <c r="N73" s="1"/>
      <c r="O73" s="1"/>
      <c r="P73" s="7"/>
      <c r="Q73" s="7"/>
      <c r="R73" s="7"/>
      <c r="S73" s="7"/>
    </row>
    <row r="74" spans="1:36" x14ac:dyDescent="0.2">
      <c r="E74" s="1"/>
      <c r="H74" s="6"/>
      <c r="I74" s="6"/>
      <c r="J74" s="6"/>
      <c r="K74" s="6"/>
      <c r="L74" s="7"/>
      <c r="M74" s="7"/>
      <c r="N74" s="1"/>
      <c r="O74" s="1"/>
      <c r="P74" s="7"/>
      <c r="Q74" s="7"/>
      <c r="R74" s="7"/>
      <c r="S74" s="7"/>
    </row>
    <row r="75" spans="1:36" x14ac:dyDescent="0.2">
      <c r="E75" s="1"/>
      <c r="H75" s="6"/>
      <c r="I75" s="6"/>
      <c r="J75" s="6"/>
      <c r="K75" s="6"/>
      <c r="L75" s="7"/>
      <c r="M75" s="7"/>
      <c r="N75" s="1"/>
      <c r="O75" s="1"/>
      <c r="P75" s="7"/>
      <c r="Q75" s="7"/>
      <c r="R75" s="7"/>
      <c r="S75" s="7"/>
    </row>
    <row r="76" spans="1:36" x14ac:dyDescent="0.2">
      <c r="E76" s="1"/>
      <c r="H76" s="6"/>
      <c r="I76" s="6"/>
      <c r="J76" s="6"/>
      <c r="K76" s="6"/>
      <c r="L76" s="7"/>
      <c r="M76" s="7"/>
      <c r="N76" s="1"/>
      <c r="O76" s="1"/>
      <c r="P76" s="7"/>
      <c r="Q76" s="7"/>
      <c r="R76" s="7"/>
      <c r="S76" s="7"/>
      <c r="U76" s="5"/>
      <c r="V76" s="5"/>
      <c r="Y76" s="5"/>
      <c r="Z76" s="5"/>
      <c r="AA76" s="5"/>
      <c r="AB76" s="5"/>
    </row>
    <row r="77" spans="1:36" x14ac:dyDescent="0.2">
      <c r="E77" s="1"/>
      <c r="H77" s="6"/>
      <c r="I77" s="6"/>
      <c r="J77" s="6"/>
      <c r="K77" s="6"/>
      <c r="L77" s="7"/>
      <c r="M77" s="7"/>
      <c r="N77" s="1"/>
      <c r="O77" s="1"/>
      <c r="P77" s="7"/>
      <c r="Q77" s="7"/>
      <c r="R77" s="7"/>
      <c r="S77" s="7"/>
    </row>
    <row r="78" spans="1:36" x14ac:dyDescent="0.2">
      <c r="E78" s="1"/>
      <c r="H78" s="6"/>
      <c r="I78" s="6"/>
      <c r="J78" s="6"/>
      <c r="K78" s="6"/>
      <c r="L78" s="7"/>
      <c r="M78" s="7"/>
      <c r="N78" s="1"/>
      <c r="O78" s="1"/>
      <c r="P78" s="7"/>
      <c r="Q78" s="7"/>
      <c r="R78" s="7"/>
      <c r="S78" s="7"/>
    </row>
    <row r="79" spans="1:36" x14ac:dyDescent="0.2">
      <c r="E79" s="1"/>
      <c r="H79" s="6"/>
      <c r="I79" s="6"/>
      <c r="J79" s="6"/>
      <c r="K79" s="6"/>
      <c r="L79" s="7"/>
      <c r="M79" s="7"/>
      <c r="N79" s="1"/>
      <c r="O79" s="1"/>
      <c r="P79" s="7"/>
      <c r="Q79" s="7"/>
      <c r="R79" s="7"/>
      <c r="S79" s="7"/>
    </row>
    <row r="80" spans="1:36" x14ac:dyDescent="0.2">
      <c r="E80" s="1"/>
      <c r="H80" s="6"/>
      <c r="I80" s="6"/>
      <c r="J80" s="6"/>
      <c r="K80" s="6"/>
      <c r="L80" s="7"/>
      <c r="M80" s="7"/>
      <c r="N80" s="1"/>
      <c r="O80" s="1"/>
      <c r="P80" s="7"/>
      <c r="Q80" s="7"/>
      <c r="R80" s="7"/>
      <c r="S80" s="7"/>
    </row>
    <row r="81" spans="5:19" x14ac:dyDescent="0.2">
      <c r="E81" s="1"/>
      <c r="H81" s="6"/>
      <c r="I81" s="6"/>
      <c r="J81" s="6"/>
      <c r="K81" s="6"/>
      <c r="L81" s="7"/>
      <c r="M81" s="7"/>
      <c r="N81" s="1"/>
      <c r="O81" s="1"/>
      <c r="P81" s="7"/>
      <c r="Q81" s="7"/>
      <c r="R81" s="7"/>
      <c r="S81" s="7"/>
    </row>
    <row r="82" spans="5:19" x14ac:dyDescent="0.2">
      <c r="E82" s="1"/>
      <c r="H82" s="6"/>
      <c r="I82" s="6"/>
      <c r="J82" s="6"/>
      <c r="K82" s="6"/>
      <c r="L82" s="7"/>
      <c r="M82" s="7"/>
      <c r="N82" s="1"/>
      <c r="O82" s="1"/>
      <c r="P82" s="7"/>
      <c r="Q82" s="7"/>
      <c r="R82" s="7"/>
      <c r="S82" s="7"/>
    </row>
    <row r="83" spans="5:19" x14ac:dyDescent="0.2">
      <c r="E83" s="1"/>
      <c r="H83" s="6"/>
      <c r="I83" s="6"/>
      <c r="J83" s="6"/>
      <c r="K83" s="6"/>
      <c r="L83" s="7"/>
      <c r="M83" s="7"/>
      <c r="N83" s="1"/>
      <c r="O83" s="1"/>
      <c r="P83" s="7"/>
      <c r="Q83" s="7"/>
      <c r="R83" s="7"/>
      <c r="S83" s="7"/>
    </row>
    <row r="84" spans="5:19" x14ac:dyDescent="0.2">
      <c r="E84" s="1"/>
      <c r="H84" s="6"/>
      <c r="I84" s="6"/>
      <c r="J84" s="6"/>
      <c r="K84" s="6"/>
      <c r="L84" s="7"/>
      <c r="M84" s="7"/>
      <c r="N84" s="1"/>
      <c r="O84" s="1"/>
      <c r="P84" s="7"/>
      <c r="Q84" s="7"/>
      <c r="R84" s="7"/>
      <c r="S84" s="7"/>
    </row>
    <row r="85" spans="5:19" x14ac:dyDescent="0.2">
      <c r="E85" s="1"/>
      <c r="H85" s="6"/>
      <c r="I85" s="6"/>
      <c r="J85" s="6"/>
      <c r="K85" s="6"/>
      <c r="L85" s="7"/>
      <c r="M85" s="7"/>
      <c r="N85" s="1"/>
      <c r="O85" s="1"/>
      <c r="P85" s="7"/>
      <c r="Q85" s="7"/>
      <c r="R85" s="7"/>
      <c r="S85" s="7"/>
    </row>
    <row r="86" spans="5:19" x14ac:dyDescent="0.2">
      <c r="E86" s="1"/>
      <c r="H86" s="6"/>
      <c r="I86" s="6"/>
      <c r="J86" s="6"/>
      <c r="K86" s="6"/>
      <c r="L86" s="7"/>
      <c r="M86" s="7"/>
      <c r="N86" s="1"/>
      <c r="O86" s="1"/>
      <c r="P86" s="7"/>
      <c r="Q86" s="7"/>
      <c r="R86" s="7"/>
      <c r="S86" s="7"/>
    </row>
    <row r="87" spans="5:19" x14ac:dyDescent="0.2">
      <c r="E87" s="1"/>
      <c r="H87" s="6"/>
      <c r="I87" s="6"/>
      <c r="J87" s="6"/>
      <c r="K87" s="6"/>
      <c r="L87" s="7"/>
      <c r="M87" s="7"/>
      <c r="N87" s="1"/>
      <c r="O87" s="1"/>
      <c r="P87" s="7"/>
      <c r="Q87" s="7"/>
      <c r="R87" s="7"/>
      <c r="S87" s="7"/>
    </row>
    <row r="88" spans="5:19" x14ac:dyDescent="0.2">
      <c r="E88" s="1"/>
      <c r="H88" s="6"/>
      <c r="I88" s="6"/>
      <c r="J88" s="6"/>
      <c r="K88" s="6"/>
      <c r="L88" s="7"/>
      <c r="M88" s="7"/>
      <c r="N88" s="1"/>
      <c r="O88" s="1"/>
      <c r="P88" s="7"/>
      <c r="Q88" s="7"/>
      <c r="R88" s="7"/>
      <c r="S88" s="7"/>
    </row>
    <row r="89" spans="5:19" x14ac:dyDescent="0.2">
      <c r="E89" s="1"/>
      <c r="H89" s="6"/>
      <c r="I89" s="6"/>
      <c r="J89" s="6"/>
      <c r="K89" s="6"/>
      <c r="L89" s="7"/>
      <c r="M89" s="7"/>
      <c r="N89" s="1"/>
      <c r="O89" s="1"/>
      <c r="P89" s="7"/>
      <c r="Q89" s="7"/>
      <c r="R89" s="7"/>
      <c r="S89" s="7"/>
    </row>
    <row r="90" spans="5:19" x14ac:dyDescent="0.2">
      <c r="E90" s="1"/>
      <c r="H90" s="6"/>
      <c r="I90" s="6"/>
      <c r="J90" s="6"/>
      <c r="K90" s="6"/>
      <c r="L90" s="7"/>
      <c r="M90" s="7"/>
      <c r="N90" s="1"/>
      <c r="O90" s="1"/>
      <c r="P90" s="7"/>
      <c r="Q90" s="7"/>
      <c r="R90" s="7"/>
      <c r="S90" s="7"/>
    </row>
    <row r="91" spans="5:19" x14ac:dyDescent="0.2">
      <c r="E91" s="1"/>
      <c r="H91" s="6"/>
      <c r="I91" s="6"/>
      <c r="J91" s="6"/>
      <c r="K91" s="6"/>
      <c r="L91" s="7"/>
      <c r="M91" s="7"/>
      <c r="N91" s="1"/>
      <c r="O91" s="1"/>
      <c r="P91" s="7"/>
      <c r="Q91" s="7"/>
      <c r="R91" s="7"/>
      <c r="S91" s="7"/>
    </row>
    <row r="92" spans="5:19" x14ac:dyDescent="0.2">
      <c r="E92" s="1"/>
      <c r="H92" s="6"/>
      <c r="I92" s="6"/>
      <c r="J92" s="6"/>
      <c r="K92" s="6"/>
      <c r="L92" s="7"/>
      <c r="M92" s="7"/>
      <c r="N92" s="1"/>
      <c r="O92" s="1"/>
      <c r="P92" s="7"/>
      <c r="Q92" s="7"/>
      <c r="R92" s="7"/>
      <c r="S92" s="7"/>
    </row>
    <row r="93" spans="5:19" x14ac:dyDescent="0.2">
      <c r="E93" s="1"/>
      <c r="H93" s="6"/>
      <c r="I93" s="6"/>
      <c r="J93" s="6"/>
      <c r="K93" s="6"/>
      <c r="L93" s="7"/>
      <c r="M93" s="7"/>
      <c r="N93" s="1"/>
      <c r="O93" s="1"/>
      <c r="P93" s="7"/>
      <c r="Q93" s="7"/>
      <c r="R93" s="7"/>
      <c r="S93" s="7"/>
    </row>
    <row r="94" spans="5:19" x14ac:dyDescent="0.2">
      <c r="E94" s="1"/>
      <c r="H94" s="6"/>
      <c r="I94" s="6"/>
      <c r="J94" s="6"/>
      <c r="K94" s="6"/>
      <c r="L94" s="7"/>
      <c r="M94" s="7"/>
      <c r="N94" s="1"/>
      <c r="O94" s="1"/>
      <c r="P94" s="7"/>
      <c r="Q94" s="7"/>
      <c r="R94" s="7"/>
      <c r="S94" s="7"/>
    </row>
    <row r="95" spans="5:19" x14ac:dyDescent="0.2">
      <c r="E95" s="1"/>
      <c r="H95" s="6"/>
      <c r="I95" s="6"/>
      <c r="J95" s="6"/>
      <c r="K95" s="6"/>
      <c r="L95" s="7"/>
      <c r="M95" s="7"/>
      <c r="N95" s="1"/>
      <c r="O95" s="1"/>
      <c r="P95" s="7"/>
      <c r="Q95" s="7"/>
      <c r="R95" s="7"/>
      <c r="S95" s="7"/>
    </row>
    <row r="96" spans="5:19" x14ac:dyDescent="0.2">
      <c r="E96" s="1"/>
      <c r="H96" s="6"/>
      <c r="I96" s="6"/>
      <c r="J96" s="6"/>
      <c r="K96" s="6"/>
      <c r="L96" s="7"/>
      <c r="M96" s="7"/>
      <c r="N96" s="1"/>
      <c r="O96" s="1"/>
      <c r="P96" s="7"/>
      <c r="Q96" s="7"/>
      <c r="R96" s="7"/>
      <c r="S96" s="7"/>
    </row>
    <row r="97" spans="5:32" x14ac:dyDescent="0.2">
      <c r="E97" s="1"/>
      <c r="H97" s="6"/>
      <c r="I97" s="6"/>
      <c r="J97" s="6"/>
      <c r="K97" s="6"/>
      <c r="L97" s="7"/>
      <c r="M97" s="7"/>
      <c r="N97" s="1"/>
      <c r="O97" s="1"/>
      <c r="P97" s="7"/>
      <c r="Q97" s="7"/>
      <c r="R97" s="7"/>
      <c r="S97" s="7"/>
    </row>
    <row r="98" spans="5:32" x14ac:dyDescent="0.2">
      <c r="E98" s="1"/>
      <c r="H98" s="6"/>
      <c r="I98" s="6"/>
      <c r="J98" s="6"/>
      <c r="K98" s="6"/>
      <c r="L98" s="7"/>
      <c r="M98" s="7"/>
      <c r="N98" s="1"/>
      <c r="O98" s="1"/>
      <c r="P98" s="7"/>
      <c r="Q98" s="7"/>
      <c r="R98" s="7"/>
      <c r="S98" s="7"/>
    </row>
    <row r="99" spans="5:32" x14ac:dyDescent="0.2">
      <c r="E99" s="1"/>
      <c r="H99" s="6"/>
      <c r="I99" s="6"/>
      <c r="J99" s="6"/>
      <c r="K99" s="6"/>
      <c r="L99" s="7"/>
      <c r="M99" s="7"/>
      <c r="N99" s="1"/>
      <c r="O99" s="1"/>
      <c r="P99" s="7"/>
      <c r="Q99" s="7"/>
      <c r="R99" s="7"/>
      <c r="S99" s="7"/>
    </row>
    <row r="100" spans="5:32" x14ac:dyDescent="0.2">
      <c r="E100" s="1"/>
      <c r="H100" s="6"/>
      <c r="I100" s="6"/>
      <c r="J100" s="6"/>
      <c r="K100" s="6"/>
      <c r="L100" s="7"/>
      <c r="M100" s="7"/>
      <c r="N100" s="1"/>
      <c r="O100" s="1"/>
      <c r="P100" s="7"/>
      <c r="Q100" s="7"/>
      <c r="R100" s="7"/>
      <c r="S100" s="7"/>
    </row>
    <row r="101" spans="5:32" x14ac:dyDescent="0.2">
      <c r="E101" s="1"/>
      <c r="H101" s="6"/>
      <c r="I101" s="6"/>
      <c r="J101" s="6"/>
      <c r="K101" s="6"/>
      <c r="L101" s="7"/>
      <c r="M101" s="7"/>
      <c r="N101" s="1"/>
      <c r="O101" s="1"/>
      <c r="P101" s="7"/>
      <c r="Q101" s="7"/>
      <c r="R101" s="7"/>
      <c r="S101" s="7"/>
    </row>
    <row r="102" spans="5:32" x14ac:dyDescent="0.2">
      <c r="E102" s="1"/>
      <c r="H102" s="6"/>
      <c r="I102" s="6"/>
      <c r="J102" s="6"/>
      <c r="K102" s="6"/>
      <c r="L102" s="7"/>
      <c r="M102" s="7"/>
      <c r="N102" s="1"/>
      <c r="O102" s="1"/>
      <c r="P102" s="7"/>
      <c r="Q102" s="7"/>
      <c r="R102" s="7"/>
      <c r="S102" s="7"/>
    </row>
    <row r="103" spans="5:32" x14ac:dyDescent="0.2">
      <c r="E103" s="1"/>
      <c r="H103" s="6"/>
      <c r="I103" s="6"/>
      <c r="J103" s="6"/>
      <c r="K103" s="6"/>
      <c r="L103" s="7"/>
      <c r="M103" s="7"/>
      <c r="N103" s="1"/>
      <c r="O103" s="1"/>
      <c r="P103" s="7"/>
      <c r="Q103" s="7"/>
      <c r="R103" s="7"/>
      <c r="S103" s="7"/>
    </row>
    <row r="104" spans="5:32" x14ac:dyDescent="0.2">
      <c r="H104" s="6"/>
      <c r="I104" s="6"/>
      <c r="J104" s="6"/>
      <c r="K104" s="6"/>
      <c r="L104" s="7"/>
      <c r="M104" s="7"/>
      <c r="N104" s="7"/>
      <c r="O104" s="7"/>
      <c r="P104" s="7"/>
      <c r="Q104" s="7"/>
      <c r="R104" s="7"/>
      <c r="S104" s="7"/>
    </row>
    <row r="105" spans="5:32" x14ac:dyDescent="0.2">
      <c r="H105" s="6"/>
      <c r="I105" s="6"/>
      <c r="J105" s="6"/>
      <c r="K105" s="6"/>
      <c r="L105" s="7"/>
      <c r="M105" s="7"/>
      <c r="N105" s="7"/>
      <c r="O105" s="7"/>
      <c r="P105" s="7"/>
      <c r="Q105" s="7"/>
      <c r="R105" s="7"/>
      <c r="S105" s="7"/>
    </row>
    <row r="106" spans="5:32" x14ac:dyDescent="0.2">
      <c r="H106" s="6"/>
      <c r="I106" s="6"/>
      <c r="J106" s="6"/>
      <c r="K106" s="6"/>
      <c r="L106" s="7"/>
      <c r="M106" s="7"/>
      <c r="N106" s="7"/>
      <c r="O106" s="7"/>
      <c r="P106" s="7"/>
      <c r="Q106" s="7"/>
      <c r="R106" s="7"/>
      <c r="S106" s="7"/>
    </row>
    <row r="107" spans="5:32" x14ac:dyDescent="0.2">
      <c r="H107" s="6"/>
      <c r="I107" s="6"/>
      <c r="J107" s="6"/>
      <c r="K107" s="6"/>
      <c r="L107" s="7"/>
      <c r="M107" s="7"/>
      <c r="N107" s="7"/>
      <c r="O107" s="7"/>
      <c r="P107" s="7"/>
      <c r="Q107" s="7"/>
      <c r="R107" s="7"/>
      <c r="S107" s="7"/>
    </row>
    <row r="108" spans="5:32" x14ac:dyDescent="0.2">
      <c r="H108" s="6"/>
      <c r="I108" s="6"/>
      <c r="J108" s="6"/>
      <c r="K108" s="6"/>
      <c r="L108" s="7"/>
      <c r="M108" s="7"/>
      <c r="N108" s="7"/>
      <c r="O108" s="7"/>
      <c r="P108" s="7"/>
      <c r="Q108" s="7"/>
      <c r="R108" s="7"/>
      <c r="S108" s="7"/>
      <c r="AC108" s="5"/>
      <c r="AD108" s="5"/>
      <c r="AE108" s="5"/>
      <c r="AF108" s="5"/>
    </row>
    <row r="109" spans="5:32" x14ac:dyDescent="0.2">
      <c r="H109" s="6"/>
      <c r="I109" s="6"/>
      <c r="J109" s="6"/>
      <c r="K109" s="6"/>
      <c r="L109" s="7"/>
      <c r="M109" s="7"/>
      <c r="N109" s="7"/>
      <c r="O109" s="7"/>
      <c r="P109" s="7"/>
      <c r="Q109" s="7"/>
      <c r="R109" s="7"/>
      <c r="S109" s="7"/>
    </row>
    <row r="110" spans="5:32" x14ac:dyDescent="0.2">
      <c r="H110" s="6"/>
      <c r="I110" s="6"/>
      <c r="J110" s="6"/>
      <c r="K110" s="6"/>
      <c r="L110" s="7"/>
      <c r="M110" s="7"/>
      <c r="N110" s="7"/>
      <c r="O110" s="7"/>
      <c r="P110" s="7"/>
      <c r="Q110" s="7"/>
      <c r="R110" s="7"/>
      <c r="S110" s="7"/>
    </row>
    <row r="111" spans="5:32" x14ac:dyDescent="0.2">
      <c r="H111" s="6"/>
      <c r="I111" s="6"/>
      <c r="J111" s="6"/>
      <c r="K111" s="6"/>
      <c r="L111" s="7"/>
      <c r="M111" s="7"/>
      <c r="N111" s="7"/>
      <c r="O111" s="7"/>
      <c r="P111" s="7"/>
      <c r="Q111" s="7"/>
      <c r="R111" s="7"/>
      <c r="S111" s="7"/>
    </row>
    <row r="112" spans="5:32" x14ac:dyDescent="0.2">
      <c r="H112" s="6"/>
      <c r="I112" s="6"/>
      <c r="J112" s="6"/>
      <c r="K112" s="6"/>
      <c r="L112" s="7"/>
      <c r="M112" s="7"/>
      <c r="N112" s="7"/>
      <c r="O112" s="7"/>
      <c r="P112" s="7"/>
      <c r="Q112" s="7"/>
      <c r="R112" s="7"/>
      <c r="S112" s="7"/>
    </row>
    <row r="113" spans="8:19" x14ac:dyDescent="0.2">
      <c r="H113" s="6"/>
      <c r="I113" s="6"/>
      <c r="J113" s="6"/>
      <c r="K113" s="6"/>
      <c r="L113" s="7"/>
      <c r="M113" s="7"/>
      <c r="N113" s="7"/>
      <c r="O113" s="7"/>
      <c r="P113" s="7"/>
      <c r="Q113" s="7"/>
      <c r="R113" s="7"/>
      <c r="S113" s="7"/>
    </row>
    <row r="114" spans="8:19" x14ac:dyDescent="0.2">
      <c r="H114" s="6"/>
      <c r="I114" s="6"/>
      <c r="J114" s="6"/>
      <c r="K114" s="6"/>
      <c r="L114" s="7"/>
      <c r="M114" s="7"/>
      <c r="N114" s="7"/>
      <c r="O114" s="7"/>
      <c r="P114" s="7"/>
      <c r="Q114" s="7"/>
      <c r="R114" s="7"/>
      <c r="S114" s="7"/>
    </row>
    <row r="115" spans="8:19" x14ac:dyDescent="0.2">
      <c r="H115" s="6"/>
      <c r="I115" s="6"/>
      <c r="J115" s="6"/>
      <c r="K115" s="6"/>
      <c r="L115" s="7"/>
      <c r="M115" s="7"/>
      <c r="N115" s="7"/>
      <c r="O115" s="7"/>
      <c r="P115" s="7"/>
      <c r="Q115" s="7"/>
      <c r="R115" s="7"/>
      <c r="S115" s="7"/>
    </row>
    <row r="116" spans="8:19" x14ac:dyDescent="0.2">
      <c r="H116" s="6"/>
      <c r="I116" s="6"/>
      <c r="J116" s="6"/>
      <c r="K116" s="6"/>
      <c r="L116" s="7"/>
      <c r="M116" s="7"/>
      <c r="N116" s="7"/>
      <c r="O116" s="7"/>
      <c r="P116" s="7"/>
      <c r="Q116" s="7"/>
      <c r="R116" s="7"/>
      <c r="S116" s="7"/>
    </row>
    <row r="117" spans="8:19" x14ac:dyDescent="0.2">
      <c r="H117" s="6"/>
      <c r="I117" s="6"/>
      <c r="J117" s="6"/>
      <c r="K117" s="6"/>
      <c r="L117" s="7"/>
      <c r="M117" s="7"/>
      <c r="N117" s="7"/>
      <c r="O117" s="7"/>
      <c r="P117" s="7"/>
      <c r="Q117" s="7"/>
      <c r="R117" s="7"/>
      <c r="S117" s="7"/>
    </row>
    <row r="118" spans="8:19" x14ac:dyDescent="0.2">
      <c r="H118" s="6"/>
      <c r="I118" s="6"/>
      <c r="J118" s="6"/>
      <c r="K118" s="6"/>
      <c r="L118" s="7"/>
      <c r="M118" s="7"/>
      <c r="N118" s="7"/>
      <c r="O118" s="7"/>
      <c r="P118" s="7"/>
      <c r="Q118" s="7"/>
      <c r="R118" s="7"/>
      <c r="S118" s="7"/>
    </row>
    <row r="119" spans="8:19" x14ac:dyDescent="0.2">
      <c r="H119" s="6"/>
      <c r="I119" s="6"/>
      <c r="J119" s="6"/>
      <c r="K119" s="6"/>
      <c r="L119" s="7"/>
      <c r="M119" s="7"/>
      <c r="N119" s="7"/>
      <c r="O119" s="7"/>
      <c r="P119" s="7"/>
      <c r="Q119" s="7"/>
      <c r="R119" s="7"/>
      <c r="S119" s="7"/>
    </row>
    <row r="120" spans="8:19" x14ac:dyDescent="0.2">
      <c r="H120" s="6"/>
      <c r="I120" s="6"/>
      <c r="J120" s="6"/>
      <c r="K120" s="6"/>
      <c r="L120" s="7"/>
      <c r="M120" s="7"/>
      <c r="N120" s="7"/>
      <c r="O120" s="7"/>
      <c r="P120" s="7"/>
      <c r="Q120" s="7"/>
      <c r="R120" s="7"/>
      <c r="S120" s="7"/>
    </row>
    <row r="121" spans="8:19" x14ac:dyDescent="0.2">
      <c r="H121" s="6"/>
      <c r="I121" s="6"/>
      <c r="J121" s="6"/>
      <c r="K121" s="6"/>
      <c r="L121" s="7"/>
      <c r="M121" s="7"/>
      <c r="N121" s="7"/>
      <c r="O121" s="7"/>
      <c r="P121" s="7"/>
      <c r="Q121" s="7"/>
      <c r="R121" s="7"/>
      <c r="S121" s="7"/>
    </row>
    <row r="122" spans="8:19" x14ac:dyDescent="0.2">
      <c r="H122" s="6"/>
      <c r="I122" s="6"/>
      <c r="J122" s="6"/>
      <c r="K122" s="6"/>
      <c r="L122" s="7"/>
      <c r="M122" s="7"/>
      <c r="N122" s="7"/>
      <c r="O122" s="7"/>
      <c r="P122" s="7"/>
      <c r="Q122" s="7"/>
      <c r="R122" s="7"/>
      <c r="S122" s="7"/>
    </row>
    <row r="123" spans="8:19" x14ac:dyDescent="0.2">
      <c r="H123" s="6"/>
      <c r="I123" s="6"/>
      <c r="J123" s="6"/>
      <c r="K123" s="6"/>
      <c r="L123" s="7"/>
      <c r="M123" s="7"/>
      <c r="N123" s="7"/>
      <c r="O123" s="7"/>
      <c r="P123" s="7"/>
      <c r="Q123" s="7"/>
      <c r="R123" s="7"/>
      <c r="S123" s="7"/>
    </row>
    <row r="124" spans="8:19" x14ac:dyDescent="0.2">
      <c r="H124" s="6"/>
      <c r="I124" s="6"/>
      <c r="J124" s="6"/>
      <c r="K124" s="6"/>
      <c r="L124" s="7"/>
      <c r="M124" s="7"/>
      <c r="N124" s="7"/>
      <c r="O124" s="7"/>
      <c r="P124" s="7"/>
      <c r="Q124" s="7"/>
      <c r="R124" s="7"/>
      <c r="S124" s="7"/>
    </row>
    <row r="125" spans="8:19" x14ac:dyDescent="0.2">
      <c r="H125" s="6"/>
      <c r="I125" s="6"/>
      <c r="J125" s="6"/>
      <c r="K125" s="6"/>
      <c r="L125" s="7"/>
      <c r="M125" s="7"/>
      <c r="N125" s="7"/>
      <c r="O125" s="7"/>
      <c r="P125" s="7"/>
      <c r="Q125" s="7"/>
      <c r="R125" s="7"/>
      <c r="S125" s="7"/>
    </row>
    <row r="126" spans="8:19" x14ac:dyDescent="0.2">
      <c r="H126" s="6"/>
      <c r="I126" s="6"/>
      <c r="J126" s="6"/>
      <c r="K126" s="6"/>
      <c r="L126" s="7"/>
      <c r="M126" s="7"/>
      <c r="N126" s="7"/>
      <c r="O126" s="7"/>
      <c r="P126" s="7"/>
      <c r="Q126" s="7"/>
      <c r="R126" s="7"/>
      <c r="S126" s="7"/>
    </row>
    <row r="127" spans="8:19" x14ac:dyDescent="0.2">
      <c r="H127" s="6"/>
      <c r="I127" s="6"/>
      <c r="J127" s="6"/>
      <c r="K127" s="6"/>
      <c r="L127" s="7"/>
      <c r="M127" s="7"/>
      <c r="N127" s="7"/>
      <c r="O127" s="7"/>
      <c r="P127" s="7"/>
      <c r="Q127" s="7"/>
      <c r="R127" s="7"/>
      <c r="S127" s="7"/>
    </row>
    <row r="128" spans="8:19" x14ac:dyDescent="0.2">
      <c r="H128" s="6"/>
      <c r="I128" s="6"/>
      <c r="J128" s="6"/>
      <c r="K128" s="6"/>
      <c r="L128" s="7"/>
      <c r="M128" s="7"/>
      <c r="N128" s="7"/>
      <c r="O128" s="7"/>
      <c r="P128" s="7"/>
      <c r="Q128" s="7"/>
      <c r="R128" s="7"/>
      <c r="S128" s="7"/>
    </row>
    <row r="129" spans="5:28" x14ac:dyDescent="0.2">
      <c r="H129" s="6"/>
      <c r="I129" s="6"/>
      <c r="J129" s="6"/>
      <c r="K129" s="6"/>
      <c r="L129" s="7"/>
      <c r="M129" s="7"/>
      <c r="N129" s="7"/>
      <c r="O129" s="7"/>
      <c r="P129" s="7"/>
      <c r="Q129" s="7"/>
      <c r="R129" s="7"/>
      <c r="S129" s="7"/>
      <c r="AA129" s="5"/>
      <c r="AB129" s="5"/>
    </row>
    <row r="130" spans="5:28" x14ac:dyDescent="0.2">
      <c r="H130" s="6"/>
      <c r="I130" s="6"/>
      <c r="J130" s="6"/>
      <c r="K130" s="6"/>
      <c r="L130" s="7"/>
      <c r="M130" s="7"/>
      <c r="N130" s="7"/>
      <c r="O130" s="7"/>
      <c r="P130" s="7"/>
      <c r="Q130" s="7"/>
      <c r="R130" s="7"/>
      <c r="S130" s="7"/>
    </row>
    <row r="131" spans="5:28" x14ac:dyDescent="0.2">
      <c r="H131" s="6"/>
      <c r="I131" s="6"/>
      <c r="J131" s="6"/>
      <c r="K131" s="6"/>
      <c r="L131" s="7"/>
      <c r="M131" s="7"/>
      <c r="N131" s="7"/>
      <c r="O131" s="7"/>
      <c r="P131" s="7"/>
      <c r="Q131" s="7"/>
      <c r="R131" s="7"/>
      <c r="S131" s="7"/>
    </row>
    <row r="132" spans="5:28" x14ac:dyDescent="0.2">
      <c r="H132" s="6"/>
      <c r="I132" s="6"/>
      <c r="J132" s="6"/>
      <c r="K132" s="6"/>
      <c r="L132" s="7"/>
      <c r="M132" s="7"/>
      <c r="N132" s="7"/>
      <c r="O132" s="7"/>
      <c r="P132" s="7"/>
      <c r="Q132" s="7"/>
      <c r="R132" s="7"/>
      <c r="S132" s="7"/>
    </row>
    <row r="133" spans="5:28" x14ac:dyDescent="0.2">
      <c r="H133" s="6"/>
      <c r="I133" s="6"/>
      <c r="J133" s="6"/>
      <c r="K133" s="6"/>
      <c r="L133" s="7"/>
      <c r="M133" s="7"/>
      <c r="N133" s="7"/>
      <c r="O133" s="7"/>
      <c r="P133" s="7"/>
      <c r="Q133" s="7"/>
      <c r="R133" s="7"/>
      <c r="S133" s="7"/>
    </row>
    <row r="134" spans="5:28" x14ac:dyDescent="0.2">
      <c r="E134" s="1"/>
      <c r="H134" s="6"/>
      <c r="I134" s="6"/>
      <c r="J134" s="6"/>
      <c r="K134" s="6"/>
      <c r="L134" s="7"/>
      <c r="M134" s="7"/>
      <c r="N134" s="1"/>
      <c r="O134" s="1"/>
      <c r="P134" s="7"/>
      <c r="Q134" s="7"/>
      <c r="R134" s="7"/>
      <c r="S134" s="7"/>
    </row>
    <row r="135" spans="5:28" x14ac:dyDescent="0.2">
      <c r="E135" s="1"/>
      <c r="H135" s="6"/>
      <c r="I135" s="6"/>
      <c r="J135" s="6"/>
      <c r="K135" s="6"/>
      <c r="L135" s="7"/>
      <c r="M135" s="7"/>
      <c r="N135" s="1"/>
      <c r="O135" s="1"/>
      <c r="P135" s="7"/>
      <c r="Q135" s="7"/>
      <c r="R135" s="7"/>
      <c r="S135" s="7"/>
    </row>
    <row r="136" spans="5:28" x14ac:dyDescent="0.2">
      <c r="E136" s="1"/>
      <c r="H136" s="6"/>
      <c r="I136" s="6"/>
      <c r="J136" s="6"/>
      <c r="K136" s="6"/>
      <c r="L136" s="7"/>
      <c r="M136" s="7"/>
      <c r="N136" s="1"/>
      <c r="O136" s="1"/>
      <c r="P136" s="7"/>
      <c r="Q136" s="7"/>
      <c r="R136" s="7"/>
      <c r="S136" s="7"/>
    </row>
    <row r="137" spans="5:28" x14ac:dyDescent="0.2">
      <c r="E137" s="1"/>
      <c r="H137" s="6"/>
      <c r="I137" s="6"/>
      <c r="J137" s="6"/>
      <c r="K137" s="6"/>
      <c r="L137" s="7"/>
      <c r="M137" s="7"/>
      <c r="N137" s="1"/>
      <c r="O137" s="1"/>
      <c r="P137" s="7"/>
      <c r="Q137" s="7"/>
      <c r="R137" s="7"/>
      <c r="S137" s="7"/>
    </row>
    <row r="138" spans="5:28" x14ac:dyDescent="0.2">
      <c r="E138" s="1"/>
      <c r="H138" s="6"/>
      <c r="I138" s="6"/>
      <c r="J138" s="6"/>
      <c r="K138" s="6"/>
      <c r="L138" s="7"/>
      <c r="M138" s="7"/>
      <c r="N138" s="1"/>
      <c r="O138" s="1"/>
      <c r="P138" s="7"/>
      <c r="Q138" s="7"/>
      <c r="R138" s="7"/>
      <c r="S138" s="7"/>
    </row>
    <row r="139" spans="5:28" x14ac:dyDescent="0.2">
      <c r="E139" s="1"/>
      <c r="H139" s="6"/>
      <c r="I139" s="6"/>
      <c r="J139" s="6"/>
      <c r="K139" s="6"/>
      <c r="L139" s="7"/>
      <c r="M139" s="7"/>
      <c r="N139" s="1"/>
      <c r="O139" s="1"/>
      <c r="P139" s="7"/>
      <c r="Q139" s="7"/>
      <c r="R139" s="7"/>
      <c r="S139" s="7"/>
    </row>
    <row r="140" spans="5:28" x14ac:dyDescent="0.2">
      <c r="E140" s="1"/>
      <c r="H140" s="6"/>
      <c r="I140" s="6"/>
      <c r="J140" s="6"/>
      <c r="K140" s="6"/>
      <c r="L140" s="7"/>
      <c r="M140" s="7"/>
      <c r="N140" s="1"/>
      <c r="O140" s="1"/>
      <c r="P140" s="7"/>
      <c r="Q140" s="7"/>
      <c r="R140" s="7"/>
      <c r="S140" s="7"/>
    </row>
    <row r="141" spans="5:28" x14ac:dyDescent="0.2">
      <c r="E141" s="1"/>
      <c r="H141" s="6"/>
      <c r="I141" s="6"/>
      <c r="J141" s="6"/>
      <c r="K141" s="6"/>
      <c r="L141" s="7"/>
      <c r="M141" s="7"/>
      <c r="N141" s="1"/>
      <c r="O141" s="1"/>
      <c r="P141" s="7"/>
      <c r="Q141" s="7"/>
      <c r="R141" s="7"/>
      <c r="S141" s="7"/>
    </row>
    <row r="142" spans="5:28" x14ac:dyDescent="0.2">
      <c r="E142" s="1"/>
      <c r="H142" s="6"/>
      <c r="I142" s="6"/>
      <c r="J142" s="6"/>
      <c r="K142" s="6"/>
      <c r="L142" s="7"/>
      <c r="M142" s="7"/>
      <c r="N142" s="1"/>
      <c r="O142" s="1"/>
      <c r="P142" s="7"/>
      <c r="Q142" s="7"/>
      <c r="R142" s="7"/>
      <c r="S142" s="7"/>
    </row>
    <row r="143" spans="5:28" x14ac:dyDescent="0.2">
      <c r="E143" s="1"/>
      <c r="H143" s="6"/>
      <c r="I143" s="6"/>
      <c r="J143" s="6"/>
      <c r="K143" s="6"/>
      <c r="L143" s="7"/>
      <c r="M143" s="7"/>
      <c r="N143" s="1"/>
      <c r="O143" s="1"/>
      <c r="P143" s="7"/>
      <c r="Q143" s="7"/>
      <c r="R143" s="7"/>
      <c r="S143" s="7"/>
    </row>
    <row r="144" spans="5:28" x14ac:dyDescent="0.2">
      <c r="E144" s="1"/>
      <c r="H144" s="6"/>
      <c r="I144" s="6"/>
      <c r="J144" s="6"/>
      <c r="K144" s="6"/>
      <c r="L144" s="7"/>
      <c r="M144" s="7"/>
      <c r="N144" s="1"/>
      <c r="O144" s="1"/>
      <c r="P144" s="7"/>
      <c r="Q144" s="7"/>
      <c r="R144" s="7"/>
      <c r="S144" s="7"/>
    </row>
    <row r="145" spans="5:19" x14ac:dyDescent="0.2">
      <c r="E145" s="1"/>
      <c r="H145" s="6"/>
      <c r="I145" s="6"/>
      <c r="J145" s="6"/>
      <c r="K145" s="6"/>
      <c r="L145" s="7"/>
      <c r="M145" s="7"/>
      <c r="N145" s="1"/>
      <c r="O145" s="1"/>
      <c r="P145" s="7"/>
      <c r="Q145" s="7"/>
      <c r="R145" s="7"/>
      <c r="S145" s="7"/>
    </row>
    <row r="146" spans="5:19" x14ac:dyDescent="0.2">
      <c r="E146" s="1"/>
      <c r="H146" s="6"/>
      <c r="I146" s="6"/>
      <c r="J146" s="6"/>
      <c r="K146" s="6"/>
      <c r="L146" s="7"/>
      <c r="M146" s="7"/>
      <c r="N146" s="1"/>
      <c r="O146" s="1"/>
      <c r="P146" s="7"/>
      <c r="Q146" s="7"/>
      <c r="R146" s="7"/>
      <c r="S146" s="7"/>
    </row>
    <row r="147" spans="5:19" x14ac:dyDescent="0.2">
      <c r="E147" s="1"/>
      <c r="H147" s="6"/>
      <c r="I147" s="6"/>
      <c r="J147" s="6"/>
      <c r="K147" s="6"/>
      <c r="L147" s="7"/>
      <c r="M147" s="7"/>
      <c r="N147" s="1"/>
      <c r="O147" s="1"/>
      <c r="P147" s="7"/>
      <c r="Q147" s="7"/>
      <c r="R147" s="7"/>
      <c r="S147" s="7"/>
    </row>
    <row r="148" spans="5:19" x14ac:dyDescent="0.2">
      <c r="E148" s="1"/>
      <c r="H148" s="6"/>
      <c r="I148" s="6"/>
      <c r="J148" s="6"/>
      <c r="K148" s="6"/>
      <c r="L148" s="7"/>
      <c r="M148" s="7"/>
      <c r="N148" s="1"/>
      <c r="O148" s="1"/>
      <c r="P148" s="7"/>
      <c r="Q148" s="7"/>
      <c r="R148" s="7"/>
      <c r="S148" s="7"/>
    </row>
    <row r="149" spans="5:19" x14ac:dyDescent="0.2">
      <c r="E149" s="1"/>
      <c r="H149" s="6"/>
      <c r="I149" s="6"/>
      <c r="J149" s="6"/>
      <c r="K149" s="6"/>
      <c r="L149" s="7"/>
      <c r="M149" s="7"/>
      <c r="N149" s="1"/>
      <c r="O149" s="1"/>
      <c r="P149" s="7"/>
      <c r="Q149" s="7"/>
      <c r="R149" s="7"/>
      <c r="S149" s="7"/>
    </row>
    <row r="150" spans="5:19" x14ac:dyDescent="0.2">
      <c r="E150" s="1"/>
      <c r="H150" s="6"/>
      <c r="I150" s="6"/>
      <c r="J150" s="6"/>
      <c r="K150" s="6"/>
      <c r="L150" s="7"/>
      <c r="M150" s="7"/>
      <c r="N150" s="1"/>
      <c r="O150" s="1"/>
      <c r="P150" s="7"/>
      <c r="Q150" s="7"/>
      <c r="R150" s="7"/>
      <c r="S150" s="7"/>
    </row>
    <row r="151" spans="5:19" x14ac:dyDescent="0.2">
      <c r="E151" s="1"/>
      <c r="H151" s="6"/>
      <c r="I151" s="6"/>
      <c r="J151" s="6"/>
      <c r="K151" s="6"/>
      <c r="L151" s="7"/>
      <c r="M151" s="7"/>
      <c r="N151" s="1"/>
      <c r="O151" s="1"/>
      <c r="P151" s="7"/>
      <c r="Q151" s="7"/>
      <c r="R151" s="7"/>
      <c r="S151" s="7"/>
    </row>
    <row r="152" spans="5:19" x14ac:dyDescent="0.2">
      <c r="E152" s="1"/>
      <c r="H152" s="6"/>
      <c r="I152" s="6"/>
      <c r="J152" s="6"/>
      <c r="K152" s="6"/>
      <c r="L152" s="7"/>
      <c r="M152" s="7"/>
      <c r="N152" s="1"/>
      <c r="O152" s="1"/>
      <c r="P152" s="7"/>
      <c r="Q152" s="7"/>
      <c r="R152" s="7"/>
      <c r="S152" s="7"/>
    </row>
    <row r="153" spans="5:19" x14ac:dyDescent="0.2">
      <c r="E153" s="1"/>
      <c r="H153" s="6"/>
      <c r="I153" s="6"/>
      <c r="J153" s="6"/>
      <c r="K153" s="6"/>
      <c r="L153" s="7"/>
      <c r="M153" s="7"/>
      <c r="N153" s="1"/>
      <c r="O153" s="1"/>
      <c r="P153" s="7"/>
      <c r="Q153" s="7"/>
      <c r="R153" s="7"/>
      <c r="S153" s="7"/>
    </row>
    <row r="154" spans="5:19" x14ac:dyDescent="0.2">
      <c r="E154" s="1"/>
      <c r="H154" s="6"/>
      <c r="I154" s="6"/>
      <c r="J154" s="6"/>
      <c r="K154" s="6"/>
      <c r="L154" s="7"/>
      <c r="M154" s="7"/>
      <c r="N154" s="1"/>
      <c r="O154" s="1"/>
      <c r="P154" s="7"/>
      <c r="Q154" s="7"/>
      <c r="R154" s="7"/>
      <c r="S154" s="7"/>
    </row>
    <row r="155" spans="5:19" x14ac:dyDescent="0.2">
      <c r="E155" s="1"/>
      <c r="H155" s="6"/>
      <c r="I155" s="6"/>
      <c r="J155" s="6"/>
      <c r="K155" s="6"/>
      <c r="L155" s="7"/>
      <c r="M155" s="7"/>
      <c r="N155" s="1"/>
      <c r="O155" s="1"/>
      <c r="P155" s="7"/>
      <c r="Q155" s="7"/>
      <c r="R155" s="7"/>
      <c r="S155" s="7"/>
    </row>
    <row r="156" spans="5:19" x14ac:dyDescent="0.2">
      <c r="H156" s="6"/>
      <c r="I156" s="6"/>
      <c r="J156" s="6"/>
      <c r="K156" s="6"/>
      <c r="L156" s="7"/>
      <c r="M156" s="7"/>
      <c r="N156" s="7"/>
      <c r="O156" s="7"/>
      <c r="P156" s="7"/>
      <c r="Q156" s="7"/>
      <c r="R156" s="7"/>
      <c r="S156" s="7"/>
    </row>
    <row r="157" spans="5:19" x14ac:dyDescent="0.2">
      <c r="H157" s="6"/>
      <c r="I157" s="6"/>
      <c r="J157" s="6"/>
      <c r="K157" s="6"/>
      <c r="L157" s="7"/>
      <c r="M157" s="7"/>
      <c r="N157" s="7"/>
      <c r="O157" s="7"/>
      <c r="P157" s="7"/>
      <c r="Q157" s="7"/>
      <c r="R157" s="7"/>
      <c r="S157" s="7"/>
    </row>
    <row r="158" spans="5:19" x14ac:dyDescent="0.2">
      <c r="H158" s="6"/>
      <c r="I158" s="6"/>
      <c r="J158" s="6"/>
      <c r="K158" s="6"/>
      <c r="L158" s="7"/>
      <c r="M158" s="7"/>
      <c r="N158" s="7"/>
      <c r="O158" s="7"/>
      <c r="P158" s="7"/>
      <c r="Q158" s="7"/>
      <c r="R158" s="7"/>
      <c r="S158" s="7"/>
    </row>
    <row r="159" spans="5:19" x14ac:dyDescent="0.2">
      <c r="H159" s="6"/>
      <c r="I159" s="6"/>
      <c r="J159" s="6"/>
      <c r="K159" s="6"/>
      <c r="L159" s="7"/>
      <c r="M159" s="7"/>
      <c r="N159" s="7"/>
      <c r="O159" s="7"/>
      <c r="P159" s="7"/>
      <c r="Q159" s="7"/>
      <c r="R159" s="7"/>
      <c r="S159" s="7"/>
    </row>
    <row r="160" spans="5:19" x14ac:dyDescent="0.2">
      <c r="H160" s="6"/>
      <c r="I160" s="6"/>
      <c r="J160" s="6"/>
      <c r="K160" s="6"/>
      <c r="L160" s="7"/>
      <c r="M160" s="7"/>
      <c r="N160" s="7"/>
      <c r="O160" s="7"/>
      <c r="P160" s="7"/>
      <c r="Q160" s="7"/>
      <c r="R160" s="7"/>
      <c r="S160" s="7"/>
    </row>
    <row r="161" spans="8:32" x14ac:dyDescent="0.2">
      <c r="H161" s="6"/>
      <c r="I161" s="6"/>
      <c r="J161" s="6"/>
      <c r="K161" s="6"/>
      <c r="L161" s="7"/>
      <c r="M161" s="7"/>
      <c r="N161" s="7"/>
      <c r="O161" s="7"/>
      <c r="P161" s="7"/>
      <c r="Q161" s="7"/>
      <c r="R161" s="7"/>
      <c r="S161" s="7"/>
      <c r="AC161" s="5"/>
      <c r="AD161" s="5"/>
      <c r="AE161" s="5"/>
      <c r="AF161" s="5"/>
    </row>
    <row r="162" spans="8:32" x14ac:dyDescent="0.2">
      <c r="H162" s="6"/>
      <c r="I162" s="6"/>
      <c r="J162" s="6"/>
      <c r="K162" s="6"/>
      <c r="L162" s="7"/>
      <c r="M162" s="7"/>
      <c r="N162" s="7"/>
      <c r="O162" s="7"/>
      <c r="P162" s="7"/>
      <c r="Q162" s="7"/>
      <c r="R162" s="7"/>
      <c r="S162" s="7"/>
    </row>
    <row r="163" spans="8:32" x14ac:dyDescent="0.2">
      <c r="H163" s="6"/>
      <c r="I163" s="6"/>
      <c r="J163" s="6"/>
      <c r="K163" s="6"/>
      <c r="L163" s="7"/>
      <c r="M163" s="7"/>
      <c r="N163" s="7"/>
      <c r="O163" s="7"/>
      <c r="P163" s="7"/>
      <c r="Q163" s="7"/>
      <c r="R163" s="7"/>
      <c r="S163" s="7"/>
    </row>
    <row r="164" spans="8:32" x14ac:dyDescent="0.2">
      <c r="H164" s="6"/>
      <c r="I164" s="6"/>
      <c r="J164" s="6"/>
      <c r="K164" s="6"/>
      <c r="L164" s="7"/>
      <c r="M164" s="7"/>
      <c r="N164" s="7"/>
      <c r="O164" s="7"/>
      <c r="P164" s="7"/>
      <c r="Q164" s="7"/>
      <c r="R164" s="7"/>
      <c r="S164" s="7"/>
    </row>
    <row r="165" spans="8:32" x14ac:dyDescent="0.2">
      <c r="H165" s="6"/>
      <c r="I165" s="6"/>
      <c r="J165" s="6"/>
      <c r="K165" s="6"/>
      <c r="L165" s="7"/>
      <c r="M165" s="7"/>
      <c r="N165" s="7"/>
      <c r="O165" s="7"/>
      <c r="P165" s="7"/>
      <c r="Q165" s="7"/>
      <c r="R165" s="7"/>
      <c r="S165" s="7"/>
    </row>
    <row r="166" spans="8:32" x14ac:dyDescent="0.2">
      <c r="H166" s="6"/>
      <c r="I166" s="6"/>
      <c r="J166" s="6"/>
      <c r="K166" s="6"/>
      <c r="L166" s="7"/>
      <c r="M166" s="7"/>
      <c r="N166" s="7"/>
      <c r="O166" s="7"/>
      <c r="P166" s="7"/>
      <c r="Q166" s="7"/>
      <c r="R166" s="7"/>
      <c r="S166" s="7"/>
    </row>
    <row r="167" spans="8:32" x14ac:dyDescent="0.2">
      <c r="H167" s="6"/>
      <c r="I167" s="6"/>
      <c r="J167" s="6"/>
      <c r="K167" s="6"/>
      <c r="L167" s="7"/>
      <c r="M167" s="7"/>
      <c r="N167" s="7"/>
      <c r="O167" s="7"/>
      <c r="P167" s="7"/>
      <c r="Q167" s="7"/>
      <c r="R167" s="7"/>
      <c r="S167" s="7"/>
    </row>
    <row r="168" spans="8:32" x14ac:dyDescent="0.2">
      <c r="H168" s="6"/>
      <c r="I168" s="6"/>
      <c r="J168" s="6"/>
      <c r="K168" s="6"/>
      <c r="L168" s="7"/>
      <c r="M168" s="7"/>
      <c r="N168" s="7"/>
      <c r="O168" s="7"/>
      <c r="P168" s="7"/>
      <c r="Q168" s="7"/>
      <c r="R168" s="7"/>
      <c r="S168" s="7"/>
    </row>
    <row r="169" spans="8:32" x14ac:dyDescent="0.2">
      <c r="H169" s="6"/>
      <c r="I169" s="6"/>
      <c r="J169" s="6"/>
      <c r="K169" s="6"/>
      <c r="L169" s="7"/>
      <c r="M169" s="7"/>
      <c r="N169" s="7"/>
      <c r="O169" s="7"/>
      <c r="P169" s="7"/>
      <c r="Q169" s="7"/>
      <c r="R169" s="7"/>
      <c r="S169" s="7"/>
    </row>
    <row r="170" spans="8:32" x14ac:dyDescent="0.2">
      <c r="H170" s="6"/>
      <c r="I170" s="6"/>
      <c r="J170" s="6"/>
      <c r="K170" s="6"/>
      <c r="L170" s="7"/>
      <c r="M170" s="7"/>
      <c r="N170" s="7"/>
      <c r="O170" s="7"/>
      <c r="P170" s="7"/>
      <c r="Q170" s="7"/>
      <c r="R170" s="7"/>
      <c r="S170" s="7"/>
    </row>
    <row r="171" spans="8:32" x14ac:dyDescent="0.2">
      <c r="H171" s="6"/>
      <c r="I171" s="6"/>
      <c r="J171" s="6"/>
      <c r="K171" s="6"/>
      <c r="L171" s="7"/>
      <c r="M171" s="7"/>
      <c r="N171" s="7"/>
      <c r="O171" s="7"/>
      <c r="P171" s="7"/>
      <c r="Q171" s="7"/>
      <c r="R171" s="7"/>
      <c r="S171" s="7"/>
    </row>
    <row r="172" spans="8:32" x14ac:dyDescent="0.2">
      <c r="H172" s="6"/>
      <c r="I172" s="6"/>
      <c r="J172" s="6"/>
      <c r="K172" s="6"/>
      <c r="L172" s="7"/>
      <c r="M172" s="7"/>
      <c r="N172" s="7"/>
      <c r="O172" s="7"/>
      <c r="P172" s="7"/>
      <c r="Q172" s="7"/>
      <c r="R172" s="7"/>
      <c r="S172" s="7"/>
    </row>
    <row r="173" spans="8:32" x14ac:dyDescent="0.2">
      <c r="H173" s="6"/>
      <c r="I173" s="6"/>
      <c r="J173" s="6"/>
      <c r="K173" s="6"/>
      <c r="L173" s="7"/>
      <c r="M173" s="7"/>
      <c r="N173" s="7"/>
      <c r="O173" s="7"/>
      <c r="P173" s="7"/>
      <c r="Q173" s="7"/>
      <c r="R173" s="7"/>
      <c r="S173" s="7"/>
      <c r="AC173" s="5"/>
      <c r="AD173" s="5"/>
      <c r="AE173" s="5"/>
      <c r="AF173" s="5"/>
    </row>
    <row r="174" spans="8:32" x14ac:dyDescent="0.2">
      <c r="H174" s="6"/>
      <c r="I174" s="6"/>
      <c r="J174" s="6"/>
      <c r="K174" s="6"/>
      <c r="L174" s="7"/>
      <c r="M174" s="7"/>
      <c r="N174" s="7"/>
      <c r="O174" s="7"/>
      <c r="P174" s="7"/>
      <c r="Q174" s="7"/>
      <c r="R174" s="7"/>
      <c r="S174" s="7"/>
    </row>
    <row r="175" spans="8:32" x14ac:dyDescent="0.2">
      <c r="H175" s="6"/>
      <c r="I175" s="6"/>
      <c r="J175" s="6"/>
      <c r="K175" s="6"/>
      <c r="L175" s="7"/>
      <c r="M175" s="7"/>
      <c r="N175" s="7"/>
      <c r="O175" s="7"/>
      <c r="P175" s="7"/>
      <c r="Q175" s="7"/>
      <c r="R175" s="7"/>
      <c r="S175" s="7"/>
    </row>
    <row r="176" spans="8:32" x14ac:dyDescent="0.2">
      <c r="H176" s="6"/>
      <c r="I176" s="6"/>
      <c r="J176" s="6"/>
      <c r="K176" s="6"/>
      <c r="L176" s="7"/>
      <c r="M176" s="7"/>
      <c r="N176" s="7"/>
      <c r="O176" s="7"/>
      <c r="P176" s="7"/>
      <c r="Q176" s="7"/>
      <c r="R176" s="7"/>
      <c r="S176" s="7"/>
    </row>
    <row r="177" spans="8:19" x14ac:dyDescent="0.2">
      <c r="H177" s="6"/>
      <c r="I177" s="6"/>
      <c r="J177" s="6"/>
      <c r="K177" s="6"/>
      <c r="L177" s="7"/>
      <c r="M177" s="7"/>
      <c r="N177" s="7"/>
      <c r="O177" s="7"/>
      <c r="P177" s="7"/>
      <c r="Q177" s="7"/>
      <c r="R177" s="7"/>
      <c r="S177" s="7"/>
    </row>
    <row r="178" spans="8:19" x14ac:dyDescent="0.2">
      <c r="H178" s="6"/>
      <c r="I178" s="6"/>
      <c r="J178" s="6"/>
      <c r="K178" s="6"/>
      <c r="L178" s="7"/>
      <c r="M178" s="7"/>
      <c r="N178" s="7"/>
      <c r="O178" s="7"/>
      <c r="P178" s="7"/>
      <c r="Q178" s="7"/>
      <c r="R178" s="7"/>
      <c r="S178" s="7"/>
    </row>
    <row r="179" spans="8:19" x14ac:dyDescent="0.2">
      <c r="H179" s="6"/>
      <c r="I179" s="6"/>
      <c r="J179" s="6"/>
      <c r="K179" s="6"/>
      <c r="L179" s="7"/>
      <c r="M179" s="7"/>
      <c r="N179" s="7"/>
      <c r="O179" s="7"/>
      <c r="P179" s="7"/>
      <c r="Q179" s="7"/>
      <c r="R179" s="7"/>
      <c r="S179" s="7"/>
    </row>
    <row r="180" spans="8:19" x14ac:dyDescent="0.2">
      <c r="H180" s="6"/>
      <c r="I180" s="6"/>
      <c r="J180" s="6"/>
      <c r="K180" s="6"/>
      <c r="L180" s="7"/>
      <c r="M180" s="7"/>
      <c r="N180" s="7"/>
      <c r="O180" s="7"/>
      <c r="P180" s="7"/>
      <c r="Q180" s="7"/>
      <c r="R180" s="7"/>
      <c r="S180" s="7"/>
    </row>
    <row r="181" spans="8:19" x14ac:dyDescent="0.2">
      <c r="H181" s="6"/>
      <c r="I181" s="6"/>
      <c r="J181" s="6"/>
      <c r="K181" s="6"/>
      <c r="L181" s="7"/>
      <c r="M181" s="7"/>
      <c r="N181" s="7"/>
      <c r="O181" s="7"/>
      <c r="P181" s="7"/>
      <c r="Q181" s="7"/>
      <c r="R181" s="7"/>
      <c r="S181" s="7"/>
    </row>
    <row r="182" spans="8:19" x14ac:dyDescent="0.2">
      <c r="H182" s="6"/>
      <c r="I182" s="6"/>
      <c r="J182" s="6"/>
      <c r="K182" s="6"/>
      <c r="L182" s="7"/>
      <c r="M182" s="7"/>
      <c r="N182" s="7"/>
      <c r="O182" s="7"/>
      <c r="P182" s="7"/>
      <c r="Q182" s="7"/>
      <c r="R182" s="7"/>
      <c r="S182" s="7"/>
    </row>
    <row r="183" spans="8:19" x14ac:dyDescent="0.2">
      <c r="H183" s="6"/>
      <c r="I183" s="6"/>
      <c r="J183" s="6"/>
      <c r="K183" s="6"/>
      <c r="L183" s="7"/>
      <c r="M183" s="7"/>
      <c r="N183" s="7"/>
      <c r="O183" s="7"/>
      <c r="P183" s="7"/>
      <c r="Q183" s="7"/>
      <c r="R183" s="7"/>
      <c r="S183" s="7"/>
    </row>
    <row r="184" spans="8:19" x14ac:dyDescent="0.2">
      <c r="H184" s="6"/>
      <c r="I184" s="6"/>
      <c r="J184" s="6"/>
      <c r="K184" s="6"/>
      <c r="L184" s="7"/>
      <c r="M184" s="7"/>
      <c r="N184" s="7"/>
      <c r="O184" s="7"/>
      <c r="P184" s="7"/>
      <c r="Q184" s="7"/>
      <c r="R184" s="7"/>
      <c r="S184" s="7"/>
    </row>
    <row r="185" spans="8:19" x14ac:dyDescent="0.2">
      <c r="H185" s="6"/>
      <c r="I185" s="6"/>
      <c r="J185" s="6"/>
      <c r="K185" s="6"/>
      <c r="L185" s="7"/>
      <c r="M185" s="7"/>
      <c r="N185" s="7"/>
      <c r="O185" s="7"/>
      <c r="P185" s="7"/>
      <c r="Q185" s="7"/>
      <c r="R185" s="7"/>
      <c r="S185" s="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3"/>
  <sheetViews>
    <sheetView tabSelected="1" workbookViewId="0">
      <selection activeCell="W32" sqref="W32"/>
    </sheetView>
  </sheetViews>
  <sheetFormatPr baseColWidth="10" defaultColWidth="8.83203125" defaultRowHeight="15" x14ac:dyDescent="0.2"/>
  <cols>
    <col min="1" max="1" width="6.33203125" style="13" bestFit="1" customWidth="1"/>
    <col min="2" max="2" width="24.5" style="13" bestFit="1" customWidth="1"/>
    <col min="3" max="3" width="10.6640625" style="13" bestFit="1" customWidth="1"/>
    <col min="4" max="4" width="18" style="13" bestFit="1" customWidth="1"/>
    <col min="5" max="5" width="15.83203125" style="13" customWidth="1"/>
    <col min="6" max="6" width="11.33203125" style="13" customWidth="1"/>
    <col min="7" max="7" width="24.5" style="13" customWidth="1"/>
    <col min="8" max="8" width="17.33203125" style="13" customWidth="1"/>
    <col min="9" max="9" width="16" style="13" bestFit="1" customWidth="1"/>
    <col min="10" max="10" width="19.5" style="13" bestFit="1" customWidth="1"/>
    <col min="11" max="11" width="18" style="13" bestFit="1" customWidth="1"/>
    <col min="12" max="12" width="10.1640625" style="13" customWidth="1"/>
    <col min="13" max="13" width="10.6640625" style="13" customWidth="1"/>
    <col min="14" max="14" width="7.5" style="13" customWidth="1"/>
    <col min="15" max="15" width="9.33203125" style="13" customWidth="1"/>
    <col min="16" max="16" width="12.33203125" style="13" customWidth="1"/>
    <col min="17" max="17" width="12.83203125" style="13" customWidth="1"/>
    <col min="18" max="18" width="11.6640625" style="13" customWidth="1"/>
    <col min="19" max="19" width="12.33203125" style="13" customWidth="1"/>
    <col min="20" max="20" width="6" style="13" customWidth="1"/>
    <col min="21" max="21" width="20.6640625" style="23" customWidth="1"/>
    <col min="22" max="22" width="16.6640625" style="23" customWidth="1"/>
    <col min="23" max="23" width="24.33203125" style="23" customWidth="1"/>
    <col min="24" max="24" width="18.5" style="23" customWidth="1"/>
    <col min="25" max="25" width="26.1640625" style="23" customWidth="1"/>
    <col min="26" max="26" width="19.5" style="23" customWidth="1"/>
    <col min="27" max="27" width="21.5" style="23" customWidth="1"/>
    <col min="28" max="28" width="17" style="23" customWidth="1"/>
    <col min="29" max="29" width="24" style="24" customWidth="1"/>
    <col min="30" max="30" width="18.5" style="24" customWidth="1"/>
    <col min="31" max="31" width="20.6640625" style="24" customWidth="1"/>
    <col min="32" max="32" width="20.1640625" style="24" customWidth="1"/>
    <col min="33" max="33" width="21.83203125" style="13" customWidth="1"/>
    <col min="34" max="34" width="20.83203125" style="13" customWidth="1"/>
    <col min="35" max="35" width="17.1640625" style="13" customWidth="1"/>
    <col min="36" max="36" width="52" style="13" customWidth="1"/>
    <col min="37" max="16384" width="8.83203125" style="13"/>
  </cols>
  <sheetData>
    <row r="1" spans="1:36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35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10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2" t="s">
        <v>33</v>
      </c>
      <c r="AI1" s="36" t="s">
        <v>34</v>
      </c>
      <c r="AJ1" s="26" t="s">
        <v>77</v>
      </c>
    </row>
    <row r="2" spans="1:36" ht="16" x14ac:dyDescent="0.2">
      <c r="A2" s="8">
        <v>1</v>
      </c>
      <c r="B2" s="8">
        <v>1</v>
      </c>
      <c r="C2" s="8" t="s">
        <v>36</v>
      </c>
      <c r="D2" s="8">
        <v>175</v>
      </c>
      <c r="E2" s="8">
        <v>178</v>
      </c>
      <c r="F2" s="8">
        <v>0</v>
      </c>
      <c r="G2" s="8" t="s">
        <v>37</v>
      </c>
      <c r="H2" s="14">
        <v>44321.798611111109</v>
      </c>
      <c r="I2" s="25">
        <v>44323.541666666664</v>
      </c>
      <c r="J2" s="25">
        <v>44323.666666666664</v>
      </c>
      <c r="K2" s="25">
        <v>44324.01390046296</v>
      </c>
      <c r="L2" s="8">
        <v>49.010542999999998</v>
      </c>
      <c r="M2" s="8">
        <v>-14.865964999999999</v>
      </c>
      <c r="N2" s="8"/>
      <c r="O2" s="8"/>
      <c r="P2" s="26">
        <v>49.018770000000004</v>
      </c>
      <c r="Q2" s="26">
        <v>-14.969060000000001</v>
      </c>
      <c r="R2" s="8">
        <v>49.028995999999999</v>
      </c>
      <c r="S2" s="8">
        <v>-14.832217999999999</v>
      </c>
      <c r="T2" s="8" t="s">
        <v>78</v>
      </c>
      <c r="U2" s="15">
        <v>4.2144576717103615</v>
      </c>
      <c r="V2" s="15">
        <v>1.4981053857713587</v>
      </c>
      <c r="W2" s="15">
        <v>0.18498689535952328</v>
      </c>
      <c r="X2" s="15">
        <v>7.1666625037084083E-2</v>
      </c>
      <c r="Y2" s="16">
        <v>4.0294707763508377</v>
      </c>
      <c r="Z2" s="16">
        <v>1.4998186063725698</v>
      </c>
      <c r="AA2" s="15">
        <v>0.49067218408373187</v>
      </c>
      <c r="AB2" s="15">
        <v>0.27443239355945359</v>
      </c>
      <c r="AC2" s="17">
        <v>0.42649378102060292</v>
      </c>
      <c r="AD2" s="17">
        <v>2.3010501156039299E-2</v>
      </c>
      <c r="AE2" s="18">
        <v>198.98798451393455</v>
      </c>
      <c r="AF2" s="18">
        <v>71.687121828120823</v>
      </c>
      <c r="AG2" s="18">
        <v>545.94813710249355</v>
      </c>
      <c r="AH2" s="18">
        <v>51.204800919207116</v>
      </c>
      <c r="AI2" s="26">
        <v>0</v>
      </c>
      <c r="AJ2" s="32"/>
    </row>
    <row r="3" spans="1:36" ht="16" x14ac:dyDescent="0.2">
      <c r="A3" s="8">
        <v>1</v>
      </c>
      <c r="B3" s="8">
        <v>1</v>
      </c>
      <c r="C3" s="8" t="s">
        <v>41</v>
      </c>
      <c r="D3" s="8">
        <v>175</v>
      </c>
      <c r="E3" s="8">
        <v>177</v>
      </c>
      <c r="F3" s="8">
        <v>1</v>
      </c>
      <c r="G3" s="8" t="s">
        <v>42</v>
      </c>
      <c r="H3" s="14">
        <v>44321.666666666664</v>
      </c>
      <c r="I3" s="25">
        <v>44323.583333333336</v>
      </c>
      <c r="J3" s="25">
        <v>44323.677083333336</v>
      </c>
      <c r="K3" s="25">
        <v>44324</v>
      </c>
      <c r="L3" s="8">
        <v>49.010438999999998</v>
      </c>
      <c r="M3" s="8">
        <v>-14.865774999999999</v>
      </c>
      <c r="N3" s="8"/>
      <c r="O3" s="8"/>
      <c r="P3" s="26">
        <v>49.020629999999997</v>
      </c>
      <c r="Q3" s="26">
        <v>-14.96213</v>
      </c>
      <c r="R3" s="8" t="s">
        <v>43</v>
      </c>
      <c r="S3" s="8" t="s">
        <v>44</v>
      </c>
      <c r="T3" s="8" t="s">
        <v>78</v>
      </c>
      <c r="U3" s="15">
        <v>2.6138002320143032</v>
      </c>
      <c r="V3" s="15">
        <v>1.3764702507922055</v>
      </c>
      <c r="W3" s="15">
        <v>0.24202146438482269</v>
      </c>
      <c r="X3" s="15">
        <v>0.30419791149855202</v>
      </c>
      <c r="Y3" s="16">
        <v>2.3717787676294804</v>
      </c>
      <c r="Z3" s="16">
        <v>1.4096831986925424</v>
      </c>
      <c r="AA3" s="15">
        <v>0.43221141739639707</v>
      </c>
      <c r="AB3" s="15">
        <v>0.45528933494767954</v>
      </c>
      <c r="AC3" s="17">
        <v>0.46716213015964364</v>
      </c>
      <c r="AD3" s="17">
        <v>1.8314941110270499E-2</v>
      </c>
      <c r="AE3" s="18">
        <v>163.08632973851294</v>
      </c>
      <c r="AF3" s="18">
        <v>28.108205851145915</v>
      </c>
      <c r="AG3" s="18">
        <v>623.776934477846</v>
      </c>
      <c r="AH3" s="18">
        <v>49.754514468492367</v>
      </c>
      <c r="AI3" s="26">
        <v>0</v>
      </c>
      <c r="AJ3" s="32"/>
    </row>
    <row r="4" spans="1:36" ht="16" x14ac:dyDescent="0.2">
      <c r="A4" s="8">
        <v>1</v>
      </c>
      <c r="B4" s="8">
        <v>2</v>
      </c>
      <c r="C4" s="8" t="s">
        <v>45</v>
      </c>
      <c r="D4" s="8">
        <v>75</v>
      </c>
      <c r="E4" s="8">
        <v>75</v>
      </c>
      <c r="F4" s="8">
        <v>0</v>
      </c>
      <c r="G4" s="8" t="s">
        <v>46</v>
      </c>
      <c r="H4" s="14">
        <v>44321.463182870371</v>
      </c>
      <c r="I4" s="27" t="s">
        <v>47</v>
      </c>
      <c r="J4" s="27">
        <v>44327.392361111109</v>
      </c>
      <c r="K4" s="25">
        <v>44327.42083333333</v>
      </c>
      <c r="L4" s="8">
        <v>49.006208000000001</v>
      </c>
      <c r="M4" s="8">
        <v>-14.862282</v>
      </c>
      <c r="N4" s="8"/>
      <c r="O4" s="8"/>
      <c r="P4" s="28" t="s">
        <v>47</v>
      </c>
      <c r="Q4" s="28" t="s">
        <v>47</v>
      </c>
      <c r="R4" s="8">
        <v>48.885728999999998</v>
      </c>
      <c r="S4" s="8">
        <v>-15.118988999999999</v>
      </c>
      <c r="T4" s="8" t="s">
        <v>78</v>
      </c>
      <c r="U4" s="15">
        <v>11.71977940493993</v>
      </c>
      <c r="V4" s="15">
        <v>1.5672852735761855</v>
      </c>
      <c r="W4" s="15">
        <v>0.54352869152521932</v>
      </c>
      <c r="X4" s="15">
        <v>0.34142052717931803</v>
      </c>
      <c r="Y4" s="16">
        <v>11.17625071341471</v>
      </c>
      <c r="Z4" s="16">
        <v>1.6040421145182511</v>
      </c>
      <c r="AA4" s="15">
        <v>1.7648982617801978</v>
      </c>
      <c r="AB4" s="15">
        <v>0.34878578299995122</v>
      </c>
      <c r="AC4" s="17">
        <v>1.1503518611994179</v>
      </c>
      <c r="AD4" s="17">
        <v>7.102011449548909E-2</v>
      </c>
      <c r="AE4" s="18">
        <v>429.51162410326907</v>
      </c>
      <c r="AF4" s="18">
        <v>22.102349776972986</v>
      </c>
      <c r="AG4" s="18">
        <v>975.05479327772059</v>
      </c>
      <c r="AH4" s="18">
        <v>84.02715770759211</v>
      </c>
      <c r="AI4" s="26">
        <v>3</v>
      </c>
      <c r="AJ4" s="32" t="s">
        <v>48</v>
      </c>
    </row>
    <row r="5" spans="1:36" s="67" customFormat="1" ht="16" x14ac:dyDescent="0.2">
      <c r="A5" s="48">
        <v>1</v>
      </c>
      <c r="B5" s="48">
        <v>2</v>
      </c>
      <c r="C5" s="48" t="s">
        <v>49</v>
      </c>
      <c r="D5" s="48">
        <v>125</v>
      </c>
      <c r="E5" s="48">
        <v>125</v>
      </c>
      <c r="F5" s="48">
        <v>0</v>
      </c>
      <c r="G5" s="48" t="s">
        <v>46</v>
      </c>
      <c r="H5" s="62">
        <v>44321.463182870371</v>
      </c>
      <c r="I5" s="50">
        <v>44323.78125</v>
      </c>
      <c r="J5" s="51">
        <v>44327.397222222222</v>
      </c>
      <c r="K5" s="50">
        <v>44327.42083333333</v>
      </c>
      <c r="L5" s="48">
        <v>49.006208000000001</v>
      </c>
      <c r="M5" s="48">
        <v>-14.862282</v>
      </c>
      <c r="N5" s="48"/>
      <c r="O5" s="48"/>
      <c r="P5" s="52" t="s">
        <v>47</v>
      </c>
      <c r="Q5" s="52" t="s">
        <v>47</v>
      </c>
      <c r="R5" s="48">
        <v>48.885728999999998</v>
      </c>
      <c r="S5" s="48">
        <v>-15.118988999999999</v>
      </c>
      <c r="T5" s="48" t="s">
        <v>78</v>
      </c>
      <c r="U5" s="63">
        <v>5.8074614429416265</v>
      </c>
      <c r="V5" s="63">
        <v>1.0307181041420619</v>
      </c>
      <c r="W5" s="63">
        <v>0.74764461434909457</v>
      </c>
      <c r="X5" s="63">
        <v>0.36033154471658252</v>
      </c>
      <c r="Y5" s="64">
        <v>5.059816828592532</v>
      </c>
      <c r="Z5" s="64">
        <v>1.0918876463831089</v>
      </c>
      <c r="AA5" s="63">
        <v>0.86291124365613403</v>
      </c>
      <c r="AB5" s="63">
        <v>0.40220257475971094</v>
      </c>
      <c r="AC5" s="65">
        <v>0.80580880758561158</v>
      </c>
      <c r="AD5" s="65">
        <v>3.0100520333715946E-2</v>
      </c>
      <c r="AE5" s="66">
        <v>289.93967800055026</v>
      </c>
      <c r="AF5" s="66">
        <v>57.696175096375633</v>
      </c>
      <c r="AG5" s="66">
        <v>1186.8791355959036</v>
      </c>
      <c r="AH5" s="66">
        <v>88.565928377863557</v>
      </c>
      <c r="AI5" s="47">
        <v>0</v>
      </c>
      <c r="AJ5" s="60" t="s">
        <v>50</v>
      </c>
    </row>
    <row r="6" spans="1:36" ht="16" x14ac:dyDescent="0.2">
      <c r="A6" s="8">
        <v>1</v>
      </c>
      <c r="B6" s="8">
        <v>2</v>
      </c>
      <c r="C6" s="8" t="s">
        <v>51</v>
      </c>
      <c r="D6" s="8">
        <v>175</v>
      </c>
      <c r="E6" s="8">
        <v>175</v>
      </c>
      <c r="F6" s="8">
        <v>0</v>
      </c>
      <c r="G6" s="8" t="s">
        <v>46</v>
      </c>
      <c r="H6" s="14">
        <v>44321.463182870371</v>
      </c>
      <c r="I6" s="25">
        <v>44323.78125</v>
      </c>
      <c r="J6" s="27">
        <v>44327.40347222222</v>
      </c>
      <c r="K6" s="25">
        <v>44327.42083333333</v>
      </c>
      <c r="L6" s="8">
        <v>49.006208000000001</v>
      </c>
      <c r="M6" s="8">
        <v>-14.862282</v>
      </c>
      <c r="N6" s="8"/>
      <c r="O6" s="8"/>
      <c r="P6" s="28" t="s">
        <v>47</v>
      </c>
      <c r="Q6" s="28" t="s">
        <v>47</v>
      </c>
      <c r="R6" s="8">
        <v>48.885728999999998</v>
      </c>
      <c r="S6" s="8">
        <v>-15.118988999999999</v>
      </c>
      <c r="T6" s="8" t="s">
        <v>78</v>
      </c>
      <c r="U6" s="15">
        <v>4.0974084582013335</v>
      </c>
      <c r="V6" s="15">
        <v>1.2089787824035769</v>
      </c>
      <c r="W6" s="15">
        <v>0.36099298319255474</v>
      </c>
      <c r="X6" s="15">
        <v>0.2988067961569732</v>
      </c>
      <c r="Y6" s="16">
        <v>3.7364154750087786</v>
      </c>
      <c r="Z6" s="16">
        <v>1.2453574578134707</v>
      </c>
      <c r="AA6" s="15">
        <v>0.82386712627326064</v>
      </c>
      <c r="AB6" s="15">
        <v>0.75380617684850038</v>
      </c>
      <c r="AC6" s="17">
        <v>0.53823707614895278</v>
      </c>
      <c r="AD6" s="17">
        <v>2.7898819763874309E-2</v>
      </c>
      <c r="AE6" s="18">
        <v>179.15728666015846</v>
      </c>
      <c r="AF6" s="18">
        <v>15.515210670824919</v>
      </c>
      <c r="AG6" s="18">
        <v>905.68892398248249</v>
      </c>
      <c r="AH6" s="18">
        <v>18.835104173642467</v>
      </c>
      <c r="AI6" s="26">
        <v>0</v>
      </c>
      <c r="AJ6" s="32" t="s">
        <v>50</v>
      </c>
    </row>
    <row r="7" spans="1:36" ht="16" x14ac:dyDescent="0.2">
      <c r="A7" s="8">
        <v>1</v>
      </c>
      <c r="B7" s="8">
        <v>2</v>
      </c>
      <c r="C7" s="8" t="s">
        <v>52</v>
      </c>
      <c r="D7" s="8">
        <v>330</v>
      </c>
      <c r="E7" s="8">
        <v>330</v>
      </c>
      <c r="F7" s="8">
        <v>0</v>
      </c>
      <c r="G7" s="8" t="s">
        <v>46</v>
      </c>
      <c r="H7" s="14">
        <v>44321.463182870371</v>
      </c>
      <c r="I7" s="25">
        <v>44323.78125</v>
      </c>
      <c r="J7" s="27">
        <v>44327.413194444445</v>
      </c>
      <c r="K7" s="25">
        <v>44327.42083333333</v>
      </c>
      <c r="L7" s="8">
        <v>49.006208000000001</v>
      </c>
      <c r="M7" s="8">
        <v>-14.862282</v>
      </c>
      <c r="N7" s="8"/>
      <c r="O7" s="8"/>
      <c r="P7" s="28" t="s">
        <v>47</v>
      </c>
      <c r="Q7" s="28" t="s">
        <v>47</v>
      </c>
      <c r="R7" s="8">
        <v>48.885728999999998</v>
      </c>
      <c r="S7" s="8">
        <v>-15.118988999999999</v>
      </c>
      <c r="T7" s="8" t="s">
        <v>78</v>
      </c>
      <c r="U7" s="15">
        <v>2.560197233354216</v>
      </c>
      <c r="V7" s="15">
        <v>1.6684595997760165</v>
      </c>
      <c r="W7" s="15">
        <v>0.43518138700382236</v>
      </c>
      <c r="X7" s="15">
        <v>0.17177769801430839</v>
      </c>
      <c r="Y7" s="16">
        <v>2.1250158463503936</v>
      </c>
      <c r="Z7" s="16">
        <v>1.6772790506113884</v>
      </c>
      <c r="AA7" s="15">
        <v>0.19480545430419219</v>
      </c>
      <c r="AB7" s="15">
        <v>0.3544475662816331</v>
      </c>
      <c r="AC7" s="17">
        <v>0.45959579099817693</v>
      </c>
      <c r="AD7" s="17">
        <v>1.2881954321341578E-2</v>
      </c>
      <c r="AE7" s="18">
        <v>145.52404709870908</v>
      </c>
      <c r="AF7" s="18">
        <v>15.01374626170478</v>
      </c>
      <c r="AG7" s="18">
        <v>728.00013445117315</v>
      </c>
      <c r="AH7" s="18">
        <v>14.675982800533495</v>
      </c>
      <c r="AI7" s="26">
        <v>0</v>
      </c>
      <c r="AJ7" s="32" t="s">
        <v>50</v>
      </c>
    </row>
    <row r="8" spans="1:36" ht="32" x14ac:dyDescent="0.2">
      <c r="A8" s="8">
        <v>1</v>
      </c>
      <c r="B8" s="8">
        <v>2</v>
      </c>
      <c r="C8" s="8" t="s">
        <v>53</v>
      </c>
      <c r="D8" s="8">
        <v>500</v>
      </c>
      <c r="E8" s="8">
        <v>500</v>
      </c>
      <c r="F8" s="8">
        <v>0</v>
      </c>
      <c r="G8" s="8" t="s">
        <v>46</v>
      </c>
      <c r="H8" s="14">
        <v>44321.463182870371</v>
      </c>
      <c r="I8" s="25">
        <v>44323.78125</v>
      </c>
      <c r="J8" s="27">
        <v>44327.42083333333</v>
      </c>
      <c r="K8" s="25">
        <v>44327.42083333333</v>
      </c>
      <c r="L8" s="8">
        <v>49.006208000000001</v>
      </c>
      <c r="M8" s="8">
        <v>-14.862282</v>
      </c>
      <c r="N8" s="8"/>
      <c r="O8" s="8"/>
      <c r="P8" s="28" t="s">
        <v>47</v>
      </c>
      <c r="Q8" s="28" t="s">
        <v>47</v>
      </c>
      <c r="R8" s="8">
        <v>48.885728999999998</v>
      </c>
      <c r="S8" s="8">
        <v>-15.118988999999999</v>
      </c>
      <c r="T8" s="8" t="s">
        <v>78</v>
      </c>
      <c r="U8" s="15">
        <v>2.6297436089738087</v>
      </c>
      <c r="V8" s="15">
        <v>1.8408772239278395</v>
      </c>
      <c r="W8" s="15">
        <v>0.18950566404614952</v>
      </c>
      <c r="X8" s="15">
        <v>0.28162008292391921</v>
      </c>
      <c r="Y8" s="16">
        <v>2.440237944927659</v>
      </c>
      <c r="Z8" s="16">
        <v>1.8622939683847832</v>
      </c>
      <c r="AA8" s="15">
        <v>0.27423818832117924</v>
      </c>
      <c r="AB8" s="15">
        <v>0.35008646719411984</v>
      </c>
      <c r="AC8" s="17">
        <v>0.24101145599697271</v>
      </c>
      <c r="AD8" s="17">
        <v>7.7136989222779083E-3</v>
      </c>
      <c r="AE8" s="18">
        <v>61.986695101176913</v>
      </c>
      <c r="AF8" s="18">
        <v>25.436730992761454</v>
      </c>
      <c r="AG8" s="18">
        <v>495.77287543526626</v>
      </c>
      <c r="AH8" s="18">
        <v>116.65911078942972</v>
      </c>
      <c r="AI8" s="26">
        <v>0</v>
      </c>
      <c r="AJ8" s="32" t="s">
        <v>54</v>
      </c>
    </row>
    <row r="9" spans="1:36" ht="16" x14ac:dyDescent="0.2">
      <c r="A9" s="8">
        <v>2</v>
      </c>
      <c r="B9" s="8">
        <v>2</v>
      </c>
      <c r="C9" s="8" t="s">
        <v>45</v>
      </c>
      <c r="D9" s="8">
        <v>75</v>
      </c>
      <c r="E9" s="8">
        <v>75</v>
      </c>
      <c r="F9" s="8">
        <v>0</v>
      </c>
      <c r="G9" s="8" t="s">
        <v>55</v>
      </c>
      <c r="H9" s="14">
        <v>44328.96601851852</v>
      </c>
      <c r="I9" s="25">
        <v>44331.75</v>
      </c>
      <c r="J9" s="25">
        <v>44332.712500000001</v>
      </c>
      <c r="K9" s="25">
        <v>44332.739583333336</v>
      </c>
      <c r="L9" s="8">
        <v>49.138361000000003</v>
      </c>
      <c r="M9" s="8">
        <v>-14.794922</v>
      </c>
      <c r="N9" s="8"/>
      <c r="O9" s="8"/>
      <c r="P9" s="28" t="s">
        <v>47</v>
      </c>
      <c r="Q9" s="28" t="s">
        <v>47</v>
      </c>
      <c r="R9" s="8">
        <v>48.96311</v>
      </c>
      <c r="S9" s="8">
        <v>-14.815173</v>
      </c>
      <c r="T9" s="8" t="s">
        <v>78</v>
      </c>
      <c r="U9" s="15">
        <v>9.884672014095953</v>
      </c>
      <c r="V9" s="15">
        <v>1.381368602836883</v>
      </c>
      <c r="W9" s="15">
        <v>1.0135981978289035</v>
      </c>
      <c r="X9" s="15">
        <v>0.2346327851742982</v>
      </c>
      <c r="Y9" s="16">
        <v>8.8710738162670495</v>
      </c>
      <c r="Z9" s="16">
        <v>1.4011537248932291</v>
      </c>
      <c r="AA9" s="15">
        <v>1.1476572740346669</v>
      </c>
      <c r="AB9" s="15">
        <v>0.19850568758636178</v>
      </c>
      <c r="AC9" s="17">
        <v>2.5081271552169868</v>
      </c>
      <c r="AD9" s="17">
        <v>0.20669344968379799</v>
      </c>
      <c r="AE9" s="18">
        <v>474.66806333199969</v>
      </c>
      <c r="AF9" s="18">
        <v>32.959448653611524</v>
      </c>
      <c r="AG9" s="18">
        <v>2225.4044161075885</v>
      </c>
      <c r="AH9" s="18">
        <v>96.481630576499839</v>
      </c>
      <c r="AI9" s="26">
        <v>0</v>
      </c>
      <c r="AJ9" s="32" t="s">
        <v>56</v>
      </c>
    </row>
    <row r="10" spans="1:36" ht="16" x14ac:dyDescent="0.2">
      <c r="A10" s="8">
        <v>2</v>
      </c>
      <c r="B10" s="8">
        <v>2</v>
      </c>
      <c r="C10" s="8" t="s">
        <v>49</v>
      </c>
      <c r="D10" s="8">
        <v>125</v>
      </c>
      <c r="E10" s="8">
        <v>125</v>
      </c>
      <c r="F10" s="8">
        <v>0</v>
      </c>
      <c r="G10" s="8" t="s">
        <v>55</v>
      </c>
      <c r="H10" s="14">
        <v>44328.96601851852</v>
      </c>
      <c r="I10" s="25">
        <v>44331.75</v>
      </c>
      <c r="J10" s="25">
        <v>44332.71597222222</v>
      </c>
      <c r="K10" s="25">
        <v>44332.739583333336</v>
      </c>
      <c r="L10" s="8">
        <v>49.138361000000003</v>
      </c>
      <c r="M10" s="8">
        <v>-14.794922</v>
      </c>
      <c r="N10" s="8"/>
      <c r="O10" s="8"/>
      <c r="P10" s="28" t="s">
        <v>47</v>
      </c>
      <c r="Q10" s="28" t="s">
        <v>47</v>
      </c>
      <c r="R10" s="8">
        <v>48.96311</v>
      </c>
      <c r="S10" s="8">
        <v>-14.815173</v>
      </c>
      <c r="T10" s="8" t="s">
        <v>78</v>
      </c>
      <c r="U10" s="15">
        <v>5.9838949190349187</v>
      </c>
      <c r="V10" s="15">
        <v>2.9816770006500692</v>
      </c>
      <c r="W10" s="15">
        <v>0.65374112780981908</v>
      </c>
      <c r="X10" s="15">
        <v>3.8161407506910834E-2</v>
      </c>
      <c r="Y10" s="16">
        <v>5.3301537912250998</v>
      </c>
      <c r="Z10" s="16">
        <v>2.9819211976892515</v>
      </c>
      <c r="AA10" s="15">
        <v>0.68125034528672601</v>
      </c>
      <c r="AB10" s="15">
        <v>0.45283403903023056</v>
      </c>
      <c r="AC10" s="17">
        <v>1.4417575134068772</v>
      </c>
      <c r="AD10" s="17">
        <v>6.8695783741906769E-2</v>
      </c>
      <c r="AE10" s="18">
        <v>278.12202057376408</v>
      </c>
      <c r="AF10" s="18">
        <v>11.544480058393111</v>
      </c>
      <c r="AG10" s="18">
        <v>1168.6323540622864</v>
      </c>
      <c r="AH10" s="18">
        <v>218.01637621830454</v>
      </c>
      <c r="AI10" s="26">
        <v>0</v>
      </c>
      <c r="AJ10" s="32" t="s">
        <v>56</v>
      </c>
    </row>
    <row r="11" spans="1:36" ht="16" x14ac:dyDescent="0.2">
      <c r="A11" s="8">
        <v>2</v>
      </c>
      <c r="B11" s="8">
        <v>2</v>
      </c>
      <c r="C11" s="8" t="s">
        <v>51</v>
      </c>
      <c r="D11" s="8">
        <v>175</v>
      </c>
      <c r="E11" s="8">
        <v>175</v>
      </c>
      <c r="F11" s="8">
        <v>0</v>
      </c>
      <c r="G11" s="8" t="s">
        <v>55</v>
      </c>
      <c r="H11" s="14">
        <v>44328.96601851852</v>
      </c>
      <c r="I11" s="25">
        <v>44331.75</v>
      </c>
      <c r="J11" s="25">
        <v>44332.722222222219</v>
      </c>
      <c r="K11" s="25">
        <v>44332.739583333336</v>
      </c>
      <c r="L11" s="8">
        <v>49.138361000000003</v>
      </c>
      <c r="M11" s="8">
        <v>-14.794922</v>
      </c>
      <c r="N11" s="8"/>
      <c r="O11" s="8"/>
      <c r="P11" s="28" t="s">
        <v>47</v>
      </c>
      <c r="Q11" s="28" t="s">
        <v>47</v>
      </c>
      <c r="R11" s="8">
        <v>48.96311</v>
      </c>
      <c r="S11" s="8">
        <v>-14.815173</v>
      </c>
      <c r="T11" s="8" t="s">
        <v>78</v>
      </c>
      <c r="U11" s="15">
        <v>4.3730645857772155</v>
      </c>
      <c r="V11" s="15">
        <v>1.1216670617859845</v>
      </c>
      <c r="W11" s="15">
        <v>0.40967885156751782</v>
      </c>
      <c r="X11" s="15">
        <v>0.28451398157899727</v>
      </c>
      <c r="Y11" s="16">
        <v>3.9633857342096976</v>
      </c>
      <c r="Z11" s="16">
        <v>1.1571884907868457</v>
      </c>
      <c r="AA11" s="15">
        <v>0.37751533881148935</v>
      </c>
      <c r="AB11" s="15">
        <v>0.12319805711980435</v>
      </c>
      <c r="AC11" s="17">
        <v>0.94081858897194259</v>
      </c>
      <c r="AD11" s="17">
        <v>4.842199074150972E-2</v>
      </c>
      <c r="AE11" s="18">
        <v>272.40134573256796</v>
      </c>
      <c r="AF11" s="18">
        <v>49.817442766185401</v>
      </c>
      <c r="AG11" s="18">
        <v>931.2106066410463</v>
      </c>
      <c r="AH11" s="18">
        <v>196.20915255863753</v>
      </c>
      <c r="AI11" s="26">
        <v>0</v>
      </c>
      <c r="AJ11" s="32" t="s">
        <v>56</v>
      </c>
    </row>
    <row r="12" spans="1:36" ht="16" x14ac:dyDescent="0.2">
      <c r="A12" s="8">
        <v>2</v>
      </c>
      <c r="B12" s="8">
        <v>2</v>
      </c>
      <c r="C12" s="8" t="s">
        <v>52</v>
      </c>
      <c r="D12" s="8">
        <v>330</v>
      </c>
      <c r="E12" s="8">
        <v>330</v>
      </c>
      <c r="F12" s="8">
        <v>0</v>
      </c>
      <c r="G12" s="8" t="s">
        <v>55</v>
      </c>
      <c r="H12" s="14">
        <v>44328.96601851852</v>
      </c>
      <c r="I12" s="25">
        <v>44331.75</v>
      </c>
      <c r="J12" s="25">
        <v>44332.729861111111</v>
      </c>
      <c r="K12" s="25">
        <v>44332.739583333336</v>
      </c>
      <c r="L12" s="8">
        <v>49.138361000000003</v>
      </c>
      <c r="M12" s="8">
        <v>-14.794922</v>
      </c>
      <c r="N12" s="8"/>
      <c r="O12" s="8"/>
      <c r="P12" s="28" t="s">
        <v>47</v>
      </c>
      <c r="Q12" s="28" t="s">
        <v>47</v>
      </c>
      <c r="R12" s="8">
        <v>48.96311</v>
      </c>
      <c r="S12" s="8">
        <v>-14.815173</v>
      </c>
      <c r="T12" s="8" t="s">
        <v>78</v>
      </c>
      <c r="U12" s="15">
        <v>3.0526631770972572</v>
      </c>
      <c r="V12" s="15">
        <v>1.9740319370858279</v>
      </c>
      <c r="W12" s="15">
        <v>0.40607575441116317</v>
      </c>
      <c r="X12" s="15">
        <v>0.12056179872101959</v>
      </c>
      <c r="Y12" s="16">
        <v>2.6465874226860939</v>
      </c>
      <c r="Z12" s="16">
        <v>1.977710099065501</v>
      </c>
      <c r="AA12" s="15">
        <v>0.15993997451744077</v>
      </c>
      <c r="AB12" s="15">
        <v>0.26036662646736797</v>
      </c>
      <c r="AC12" s="17">
        <v>0.52585713502446152</v>
      </c>
      <c r="AD12" s="17">
        <v>3.5804435221227497E-2</v>
      </c>
      <c r="AE12" s="18">
        <v>123.20586406753264</v>
      </c>
      <c r="AF12" s="18">
        <v>16.012820919044927</v>
      </c>
      <c r="AG12" s="18">
        <v>709.9879372373955</v>
      </c>
      <c r="AH12" s="18">
        <v>65.258767490597933</v>
      </c>
      <c r="AI12" s="26">
        <v>0</v>
      </c>
      <c r="AJ12" s="32" t="s">
        <v>56</v>
      </c>
    </row>
    <row r="13" spans="1:36" ht="16" x14ac:dyDescent="0.2">
      <c r="A13" s="8">
        <v>2</v>
      </c>
      <c r="B13" s="8">
        <v>2</v>
      </c>
      <c r="C13" s="8" t="s">
        <v>53</v>
      </c>
      <c r="D13" s="8">
        <v>500</v>
      </c>
      <c r="E13" s="8">
        <v>500</v>
      </c>
      <c r="F13" s="8">
        <v>0</v>
      </c>
      <c r="G13" s="8" t="s">
        <v>55</v>
      </c>
      <c r="H13" s="14">
        <v>44328.96601851852</v>
      </c>
      <c r="I13" s="25">
        <v>44331.75</v>
      </c>
      <c r="J13" s="25">
        <v>44332.739583333336</v>
      </c>
      <c r="K13" s="25">
        <v>44332.739583333336</v>
      </c>
      <c r="L13" s="8">
        <v>49.138361000000003</v>
      </c>
      <c r="M13" s="8">
        <v>-14.794922</v>
      </c>
      <c r="N13" s="8"/>
      <c r="O13" s="8"/>
      <c r="P13" s="28" t="s">
        <v>47</v>
      </c>
      <c r="Q13" s="28" t="s">
        <v>47</v>
      </c>
      <c r="R13" s="8">
        <v>48.96311</v>
      </c>
      <c r="S13" s="8">
        <v>-14.815173</v>
      </c>
      <c r="T13" s="8" t="s">
        <v>78</v>
      </c>
      <c r="U13" s="15">
        <v>3.5881450206502361</v>
      </c>
      <c r="V13" s="15">
        <v>1.1881470512803234</v>
      </c>
      <c r="W13" s="15">
        <v>0.45089216191241116</v>
      </c>
      <c r="X13" s="15">
        <v>8.8148437169785224E-2</v>
      </c>
      <c r="Y13" s="16">
        <v>3.137252858737825</v>
      </c>
      <c r="Z13" s="16">
        <v>1.1914124233201544</v>
      </c>
      <c r="AA13" s="15">
        <v>0.42135020719731348</v>
      </c>
      <c r="AB13" s="15">
        <v>0.16937957829889755</v>
      </c>
      <c r="AC13" s="17">
        <v>0.4644168257975167</v>
      </c>
      <c r="AD13" s="17">
        <v>6.286206609504516E-2</v>
      </c>
      <c r="AE13" s="18">
        <v>160.66408967207997</v>
      </c>
      <c r="AF13" s="18">
        <v>24.246590917238937</v>
      </c>
      <c r="AG13" s="18">
        <v>622.01380198011145</v>
      </c>
      <c r="AH13" s="18">
        <v>14.581311552325383</v>
      </c>
      <c r="AI13" s="26">
        <v>3</v>
      </c>
      <c r="AJ13" s="32" t="s">
        <v>57</v>
      </c>
    </row>
    <row r="14" spans="1:36" ht="16" x14ac:dyDescent="0.2">
      <c r="A14" s="8">
        <v>3</v>
      </c>
      <c r="B14" s="8">
        <v>1</v>
      </c>
      <c r="C14" s="8" t="s">
        <v>58</v>
      </c>
      <c r="D14" s="19">
        <v>105</v>
      </c>
      <c r="E14" s="19">
        <v>109</v>
      </c>
      <c r="F14" s="8">
        <v>0</v>
      </c>
      <c r="G14" s="8" t="s">
        <v>59</v>
      </c>
      <c r="H14" s="14">
        <v>44339.041666666664</v>
      </c>
      <c r="I14" s="25">
        <v>44340.666666666664</v>
      </c>
      <c r="J14" s="25">
        <v>44340.713888888888</v>
      </c>
      <c r="K14" s="25">
        <v>44340.903437499997</v>
      </c>
      <c r="L14" s="8">
        <v>48.883723000000003</v>
      </c>
      <c r="M14" s="8">
        <v>-14.770284</v>
      </c>
      <c r="N14" s="8"/>
      <c r="O14" s="8"/>
      <c r="P14" s="26">
        <v>48.812849999999997</v>
      </c>
      <c r="Q14" s="26">
        <v>-14.653957</v>
      </c>
      <c r="R14" s="8">
        <v>48.788513999999999</v>
      </c>
      <c r="S14" s="8">
        <v>-14.730548000000001</v>
      </c>
      <c r="T14" s="8" t="s">
        <v>78</v>
      </c>
      <c r="U14" s="15">
        <v>23.93565863145977</v>
      </c>
      <c r="V14" s="15">
        <v>2.7620435947352777</v>
      </c>
      <c r="W14" s="15">
        <v>1.5646820033580418</v>
      </c>
      <c r="X14" s="15">
        <v>0.10020318444572043</v>
      </c>
      <c r="Y14" s="16">
        <v>22.370976628101729</v>
      </c>
      <c r="Z14" s="16">
        <v>2.7638606146821583</v>
      </c>
      <c r="AA14" s="15">
        <v>2.7611927779719125</v>
      </c>
      <c r="AB14" s="15">
        <v>0.401137593604799</v>
      </c>
      <c r="AC14" s="17">
        <v>5.8010066006624053</v>
      </c>
      <c r="AD14" s="17">
        <v>0.45386340733900188</v>
      </c>
      <c r="AE14" s="18">
        <v>1052.3276076674135</v>
      </c>
      <c r="AF14" s="18">
        <v>39.711484063766072</v>
      </c>
      <c r="AG14" s="18">
        <v>4689.0042401352366</v>
      </c>
      <c r="AH14" s="18">
        <v>632.61996869645111</v>
      </c>
      <c r="AI14" s="26">
        <v>0</v>
      </c>
      <c r="AJ14" s="32" t="s">
        <v>60</v>
      </c>
    </row>
    <row r="15" spans="1:36" ht="64" x14ac:dyDescent="0.2">
      <c r="A15" s="8">
        <v>3</v>
      </c>
      <c r="B15" s="8">
        <v>1</v>
      </c>
      <c r="C15" s="8" t="s">
        <v>61</v>
      </c>
      <c r="D15" s="19">
        <v>145</v>
      </c>
      <c r="E15" s="19">
        <v>143</v>
      </c>
      <c r="F15" s="8">
        <v>0</v>
      </c>
      <c r="G15" s="8" t="s">
        <v>62</v>
      </c>
      <c r="H15" s="14">
        <v>44338.986111111109</v>
      </c>
      <c r="I15" s="25">
        <v>44340.625</v>
      </c>
      <c r="J15" s="25">
        <v>44340.71875</v>
      </c>
      <c r="K15" s="25">
        <v>44340.886076388888</v>
      </c>
      <c r="L15" s="8">
        <v>48.884160000000001</v>
      </c>
      <c r="M15" s="8">
        <v>-14.769467000000001</v>
      </c>
      <c r="N15" s="8"/>
      <c r="O15" s="8"/>
      <c r="P15" s="26">
        <v>48.812289999999997</v>
      </c>
      <c r="Q15" s="26">
        <v>-14.665459999999999</v>
      </c>
      <c r="R15" s="8">
        <v>48.789813000000002</v>
      </c>
      <c r="S15" s="8">
        <v>-14.738694000000001</v>
      </c>
      <c r="T15" s="8" t="s">
        <v>78</v>
      </c>
      <c r="U15" s="15">
        <v>19.77</v>
      </c>
      <c r="V15" s="15">
        <v>1.52</v>
      </c>
      <c r="W15" s="15">
        <v>1.65</v>
      </c>
      <c r="X15" s="15">
        <v>0.09</v>
      </c>
      <c r="Y15" s="31">
        <v>18.100000000000001</v>
      </c>
      <c r="Z15" s="31">
        <v>1.5</v>
      </c>
      <c r="AA15" s="15">
        <v>2.17</v>
      </c>
      <c r="AB15" s="15">
        <v>0.25</v>
      </c>
      <c r="AC15" s="17" t="s">
        <v>63</v>
      </c>
      <c r="AD15" s="17" t="s">
        <v>63</v>
      </c>
      <c r="AE15" s="18" t="s">
        <v>63</v>
      </c>
      <c r="AF15" s="18" t="s">
        <v>63</v>
      </c>
      <c r="AG15" s="30">
        <f>SUM(AG3,AG14)</f>
        <v>5312.7811746130828</v>
      </c>
      <c r="AH15" s="30">
        <f>SQRT(AH3^2+AH14^2)</f>
        <v>634.57350756511585</v>
      </c>
      <c r="AI15" s="26">
        <v>3</v>
      </c>
      <c r="AJ15" s="32" t="s">
        <v>79</v>
      </c>
    </row>
    <row r="16" spans="1:36" ht="48" x14ac:dyDescent="0.2">
      <c r="A16" s="8">
        <v>3</v>
      </c>
      <c r="B16" s="8">
        <v>1</v>
      </c>
      <c r="C16" s="8" t="s">
        <v>65</v>
      </c>
      <c r="D16" s="8">
        <v>145</v>
      </c>
      <c r="E16" s="8">
        <v>143</v>
      </c>
      <c r="F16" s="8">
        <v>0</v>
      </c>
      <c r="G16" s="8" t="s">
        <v>62</v>
      </c>
      <c r="H16" s="14">
        <v>44338.986111111109</v>
      </c>
      <c r="I16" s="25">
        <v>44340.625</v>
      </c>
      <c r="J16" s="25">
        <v>44340.71875</v>
      </c>
      <c r="K16" s="25">
        <v>44340.886076388888</v>
      </c>
      <c r="L16" s="8">
        <v>48.884160000000001</v>
      </c>
      <c r="M16" s="8">
        <v>-14.769467000000001</v>
      </c>
      <c r="N16" s="8"/>
      <c r="O16" s="8"/>
      <c r="P16" s="26">
        <v>48.812289999999997</v>
      </c>
      <c r="Q16" s="26">
        <v>-14.665459999999999</v>
      </c>
      <c r="R16" s="8">
        <v>48.789813000000002</v>
      </c>
      <c r="S16" s="8">
        <v>-14.738694000000001</v>
      </c>
      <c r="T16" s="8" t="s">
        <v>78</v>
      </c>
      <c r="U16" s="15">
        <v>29.405744628271531</v>
      </c>
      <c r="V16" s="15">
        <v>2.2800149754506207</v>
      </c>
      <c r="W16" s="15">
        <v>2.2555787659977349</v>
      </c>
      <c r="X16" s="15">
        <v>0.55632342668096169</v>
      </c>
      <c r="Y16" s="16">
        <v>27.150165862273795</v>
      </c>
      <c r="Z16" s="16">
        <v>2.3469052054467694</v>
      </c>
      <c r="AA16" s="15">
        <v>3.1350082051316979</v>
      </c>
      <c r="AB16" s="15">
        <v>0.41851003268046211</v>
      </c>
      <c r="AC16" s="17">
        <v>8.2479310764743872</v>
      </c>
      <c r="AD16" s="17">
        <v>0.78992206353897343</v>
      </c>
      <c r="AE16" s="18">
        <v>1508.0048468876771</v>
      </c>
      <c r="AF16" s="18">
        <v>213.06517702045443</v>
      </c>
      <c r="AG16" s="18">
        <v>7475.1840290843984</v>
      </c>
      <c r="AH16" s="18">
        <v>455.32011656424601</v>
      </c>
      <c r="AI16" s="26">
        <v>0</v>
      </c>
      <c r="AJ16" s="32" t="s">
        <v>66</v>
      </c>
    </row>
    <row r="17" spans="1:36" ht="48" x14ac:dyDescent="0.2">
      <c r="A17" s="8">
        <v>3</v>
      </c>
      <c r="B17" s="8">
        <v>2</v>
      </c>
      <c r="C17" s="8" t="s">
        <v>45</v>
      </c>
      <c r="D17" s="8">
        <v>95</v>
      </c>
      <c r="E17" s="8">
        <v>95</v>
      </c>
      <c r="F17" s="8">
        <v>0</v>
      </c>
      <c r="G17" s="8" t="s">
        <v>67</v>
      </c>
      <c r="H17" s="14">
        <v>44338.933391203704</v>
      </c>
      <c r="I17" s="25">
        <v>44340.75</v>
      </c>
      <c r="J17" s="25">
        <v>44340.941666666666</v>
      </c>
      <c r="K17" s="25">
        <v>44340.941666666666</v>
      </c>
      <c r="L17" s="8">
        <v>48.886738999999999</v>
      </c>
      <c r="M17" s="8">
        <v>-14.756997</v>
      </c>
      <c r="N17" s="8"/>
      <c r="O17" s="8"/>
      <c r="P17" s="28" t="s">
        <v>47</v>
      </c>
      <c r="Q17" s="28" t="s">
        <v>47</v>
      </c>
      <c r="R17" s="8">
        <v>48.806024000000001</v>
      </c>
      <c r="S17" s="8">
        <v>-14.730060999999999</v>
      </c>
      <c r="T17" s="8" t="s">
        <v>78</v>
      </c>
      <c r="U17" s="15">
        <v>6.9786786458292331</v>
      </c>
      <c r="V17" s="15">
        <v>1.5137929169748823</v>
      </c>
      <c r="W17" s="15">
        <v>0.48506030301278985</v>
      </c>
      <c r="X17" s="15">
        <v>4.9184238373136228E-2</v>
      </c>
      <c r="Y17" s="16">
        <v>6.4936183428164433</v>
      </c>
      <c r="Z17" s="16">
        <v>1.5145917221441785</v>
      </c>
      <c r="AA17" s="15">
        <v>0.53515585309693903</v>
      </c>
      <c r="AB17" s="15">
        <v>0.29615359622174858</v>
      </c>
      <c r="AC17" s="17">
        <v>1.713548678176914</v>
      </c>
      <c r="AD17" s="17">
        <v>7.4278422924271545E-2</v>
      </c>
      <c r="AE17" s="18">
        <v>335.98647562391665</v>
      </c>
      <c r="AF17" s="18">
        <v>27.856633123691132</v>
      </c>
      <c r="AG17" s="18">
        <v>1631.0075454553948</v>
      </c>
      <c r="AH17" s="18">
        <v>95.505260080257699</v>
      </c>
      <c r="AI17" s="26">
        <v>0</v>
      </c>
      <c r="AJ17" s="33" t="s">
        <v>68</v>
      </c>
    </row>
    <row r="18" spans="1:36" ht="16" x14ac:dyDescent="0.2">
      <c r="A18" s="8">
        <v>3</v>
      </c>
      <c r="B18" s="8">
        <v>2</v>
      </c>
      <c r="C18" s="8" t="s">
        <v>49</v>
      </c>
      <c r="D18" s="8">
        <v>145</v>
      </c>
      <c r="E18" s="8">
        <v>145</v>
      </c>
      <c r="F18" s="8">
        <v>0</v>
      </c>
      <c r="G18" s="8" t="s">
        <v>67</v>
      </c>
      <c r="H18" s="14">
        <v>44338.933391203704</v>
      </c>
      <c r="I18" s="25">
        <v>44340.75</v>
      </c>
      <c r="J18" s="25">
        <v>44340.948611111111</v>
      </c>
      <c r="K18" s="25">
        <v>44340.948611111111</v>
      </c>
      <c r="L18" s="8">
        <v>48.886738999999999</v>
      </c>
      <c r="M18" s="8">
        <v>-14.756997</v>
      </c>
      <c r="N18" s="8"/>
      <c r="O18" s="8"/>
      <c r="P18" s="28" t="s">
        <v>47</v>
      </c>
      <c r="Q18" s="28" t="s">
        <v>47</v>
      </c>
      <c r="R18" s="8">
        <v>48.806024000000001</v>
      </c>
      <c r="S18" s="8">
        <v>-14.730060999999999</v>
      </c>
      <c r="T18" s="8" t="s">
        <v>78</v>
      </c>
      <c r="U18" s="15">
        <v>12.20256904857416</v>
      </c>
      <c r="V18" s="15">
        <v>1.3252382959017639</v>
      </c>
      <c r="W18" s="15">
        <v>1.950135435366761</v>
      </c>
      <c r="X18" s="15">
        <v>0.75317265541292688</v>
      </c>
      <c r="Y18" s="16">
        <v>10.252433613207399</v>
      </c>
      <c r="Z18" s="16">
        <v>1.524311513368042</v>
      </c>
      <c r="AA18" s="15">
        <v>1.9474835926684557</v>
      </c>
      <c r="AB18" s="15">
        <v>1.5356697510246826</v>
      </c>
      <c r="AC18" s="17">
        <v>4.8562873233894788</v>
      </c>
      <c r="AD18" s="17">
        <v>0.13896173633918102</v>
      </c>
      <c r="AE18" s="18">
        <v>916.98535818036771</v>
      </c>
      <c r="AF18" s="18">
        <v>55.924543156573307</v>
      </c>
      <c r="AG18" s="18">
        <v>4944.2922121013853</v>
      </c>
      <c r="AH18" s="18">
        <v>261.95205922268991</v>
      </c>
      <c r="AI18" s="26">
        <v>0</v>
      </c>
      <c r="AJ18" s="32"/>
    </row>
    <row r="19" spans="1:36" ht="16" x14ac:dyDescent="0.2">
      <c r="A19" s="8">
        <v>3</v>
      </c>
      <c r="B19" s="8">
        <v>2</v>
      </c>
      <c r="C19" s="8" t="s">
        <v>51</v>
      </c>
      <c r="D19" s="8">
        <v>195</v>
      </c>
      <c r="E19" s="8">
        <v>195</v>
      </c>
      <c r="F19" s="8">
        <v>0</v>
      </c>
      <c r="G19" s="8" t="s">
        <v>67</v>
      </c>
      <c r="H19" s="14">
        <v>44338.933391203704</v>
      </c>
      <c r="I19" s="25">
        <v>44340.75</v>
      </c>
      <c r="J19" s="25">
        <v>44340.954861111109</v>
      </c>
      <c r="K19" s="25">
        <v>44340.954861111109</v>
      </c>
      <c r="L19" s="8">
        <v>48.886738999999999</v>
      </c>
      <c r="M19" s="8">
        <v>-14.756997</v>
      </c>
      <c r="N19" s="8"/>
      <c r="O19" s="8"/>
      <c r="P19" s="28" t="s">
        <v>47</v>
      </c>
      <c r="Q19" s="28" t="s">
        <v>47</v>
      </c>
      <c r="R19" s="8">
        <v>48.806024000000001</v>
      </c>
      <c r="S19" s="8">
        <v>-14.730060999999999</v>
      </c>
      <c r="T19" s="8" t="s">
        <v>78</v>
      </c>
      <c r="U19" s="15">
        <v>14.735262374041513</v>
      </c>
      <c r="V19" s="15">
        <v>1.4777523575018654</v>
      </c>
      <c r="W19" s="15">
        <v>1.5801336478587649</v>
      </c>
      <c r="X19" s="15">
        <v>7.0604610153830863E-2</v>
      </c>
      <c r="Y19" s="16">
        <v>13.155128726182749</v>
      </c>
      <c r="Z19" s="16">
        <v>1.4794380828805562</v>
      </c>
      <c r="AA19" s="15">
        <v>1.7225024743390493</v>
      </c>
      <c r="AB19" s="15">
        <v>0.55964848097475262</v>
      </c>
      <c r="AC19" s="17">
        <v>4.3006193993419766</v>
      </c>
      <c r="AD19" s="17">
        <v>6.7118187138650656E-2</v>
      </c>
      <c r="AE19" s="18">
        <v>739.2911708408509</v>
      </c>
      <c r="AF19" s="18">
        <v>25.235334217208553</v>
      </c>
      <c r="AG19" s="18">
        <v>4482.1225108027766</v>
      </c>
      <c r="AH19" s="18">
        <v>57.403382660152033</v>
      </c>
      <c r="AI19" s="26">
        <v>0</v>
      </c>
      <c r="AJ19" s="32"/>
    </row>
    <row r="20" spans="1:36" ht="16" x14ac:dyDescent="0.2">
      <c r="A20" s="8">
        <v>3</v>
      </c>
      <c r="B20" s="8">
        <v>2</v>
      </c>
      <c r="C20" s="8" t="s">
        <v>52</v>
      </c>
      <c r="D20" s="8">
        <v>330</v>
      </c>
      <c r="E20" s="8">
        <v>330</v>
      </c>
      <c r="F20" s="8">
        <v>0</v>
      </c>
      <c r="G20" s="8" t="s">
        <v>67</v>
      </c>
      <c r="H20" s="14">
        <v>44338.933391203704</v>
      </c>
      <c r="I20" s="25">
        <v>44340.75</v>
      </c>
      <c r="J20" s="25">
        <v>44340.964583333334</v>
      </c>
      <c r="K20" s="25">
        <v>44340.964583333334</v>
      </c>
      <c r="L20" s="8">
        <v>48.886738999999999</v>
      </c>
      <c r="M20" s="8">
        <v>-14.756997</v>
      </c>
      <c r="N20" s="8"/>
      <c r="O20" s="8"/>
      <c r="P20" s="28" t="s">
        <v>47</v>
      </c>
      <c r="Q20" s="28" t="s">
        <v>47</v>
      </c>
      <c r="R20" s="8">
        <v>48.806024000000001</v>
      </c>
      <c r="S20" s="8">
        <v>-14.730060999999999</v>
      </c>
      <c r="T20" s="8" t="s">
        <v>78</v>
      </c>
      <c r="U20" s="15">
        <v>7.1731255580149345</v>
      </c>
      <c r="V20" s="15">
        <v>1.6267237548475222</v>
      </c>
      <c r="W20" s="15">
        <v>0.9605649685243175</v>
      </c>
      <c r="X20" s="15">
        <v>0.10818823225588385</v>
      </c>
      <c r="Y20" s="16">
        <v>6.2125605894906171</v>
      </c>
      <c r="Z20" s="16">
        <v>1.630317413322901</v>
      </c>
      <c r="AA20" s="15">
        <v>0.549244560277237</v>
      </c>
      <c r="AB20" s="15">
        <v>0.25537242123322257</v>
      </c>
      <c r="AC20" s="17">
        <v>2.7966559047863107</v>
      </c>
      <c r="AD20" s="17">
        <v>1.7324453998615211E-2</v>
      </c>
      <c r="AE20" s="18">
        <v>495.34764983288892</v>
      </c>
      <c r="AF20" s="18">
        <v>50.938155282068578</v>
      </c>
      <c r="AG20" s="18">
        <v>3042.1527110883799</v>
      </c>
      <c r="AH20" s="18">
        <v>57.221427139663263</v>
      </c>
      <c r="AI20" s="26">
        <v>0</v>
      </c>
      <c r="AJ20" s="32"/>
    </row>
    <row r="21" spans="1:36" ht="16" x14ac:dyDescent="0.2">
      <c r="A21" s="8">
        <v>3</v>
      </c>
      <c r="B21" s="8">
        <v>2</v>
      </c>
      <c r="C21" s="8" t="s">
        <v>53</v>
      </c>
      <c r="D21" s="8">
        <v>500</v>
      </c>
      <c r="E21" s="8">
        <v>500</v>
      </c>
      <c r="F21" s="8">
        <v>0</v>
      </c>
      <c r="G21" s="8" t="s">
        <v>67</v>
      </c>
      <c r="H21" s="14">
        <v>44338.933391203704</v>
      </c>
      <c r="I21" s="25">
        <v>44340.75</v>
      </c>
      <c r="J21" s="25">
        <v>44340.973611111112</v>
      </c>
      <c r="K21" s="25">
        <v>44340.973611111112</v>
      </c>
      <c r="L21" s="8">
        <v>48.886738999999999</v>
      </c>
      <c r="M21" s="8">
        <v>-14.756997</v>
      </c>
      <c r="N21" s="8"/>
      <c r="O21" s="8"/>
      <c r="P21" s="28" t="s">
        <v>47</v>
      </c>
      <c r="Q21" s="28" t="s">
        <v>47</v>
      </c>
      <c r="R21" s="8">
        <v>48.806024000000001</v>
      </c>
      <c r="S21" s="8">
        <v>-14.730060999999999</v>
      </c>
      <c r="T21" s="8" t="s">
        <v>78</v>
      </c>
      <c r="U21" s="15">
        <v>3.4775061674633077</v>
      </c>
      <c r="V21" s="15">
        <v>1.435031118508673</v>
      </c>
      <c r="W21" s="15">
        <v>0.36265702807637434</v>
      </c>
      <c r="X21" s="15">
        <v>0.28640518671373622</v>
      </c>
      <c r="Y21" s="16">
        <v>3.1148491393869335</v>
      </c>
      <c r="Z21" s="16">
        <v>1.4633325808116155</v>
      </c>
      <c r="AA21" s="15">
        <v>0.68512570714154308</v>
      </c>
      <c r="AB21" s="15">
        <v>0.98015998994579534</v>
      </c>
      <c r="AC21" s="17">
        <v>1.3917199698884428</v>
      </c>
      <c r="AD21" s="17">
        <v>4.4955951204564533E-2</v>
      </c>
      <c r="AE21" s="18">
        <v>252.62417033479235</v>
      </c>
      <c r="AF21" s="18">
        <v>24.855204489236431</v>
      </c>
      <c r="AG21" s="18">
        <v>1432.003904221287</v>
      </c>
      <c r="AH21" s="18">
        <v>168.3339800862444</v>
      </c>
      <c r="AI21" s="26">
        <v>0</v>
      </c>
      <c r="AJ21" s="32"/>
    </row>
    <row r="22" spans="1:36" ht="32" x14ac:dyDescent="0.2">
      <c r="A22" s="8">
        <v>3</v>
      </c>
      <c r="B22" s="8">
        <v>1</v>
      </c>
      <c r="C22" s="8" t="s">
        <v>36</v>
      </c>
      <c r="D22" s="8">
        <v>195</v>
      </c>
      <c r="E22" s="8">
        <v>199</v>
      </c>
      <c r="F22" s="8">
        <v>0</v>
      </c>
      <c r="G22" s="8" t="s">
        <v>69</v>
      </c>
      <c r="H22" s="14">
        <v>44339.520833333336</v>
      </c>
      <c r="I22" s="25">
        <v>44341.625</v>
      </c>
      <c r="J22" s="25">
        <v>44341.705555555556</v>
      </c>
      <c r="K22" s="25">
        <v>44341.849340277775</v>
      </c>
      <c r="L22" s="8">
        <v>48.884321999999997</v>
      </c>
      <c r="M22" s="8">
        <v>-14.769143</v>
      </c>
      <c r="N22" s="8"/>
      <c r="O22" s="8"/>
      <c r="P22" s="26">
        <v>48.923810000000003</v>
      </c>
      <c r="Q22" s="26">
        <v>-14.679040000000001</v>
      </c>
      <c r="R22" s="8">
        <v>48.917225000000002</v>
      </c>
      <c r="S22" s="8">
        <v>-14.633554</v>
      </c>
      <c r="T22" s="8" t="s">
        <v>78</v>
      </c>
      <c r="U22" s="15">
        <v>24.750751117024937</v>
      </c>
      <c r="V22" s="15">
        <v>1.6500705801787641</v>
      </c>
      <c r="W22" s="15">
        <v>3.2421173533196952</v>
      </c>
      <c r="X22" s="15">
        <v>0.50480014532939099</v>
      </c>
      <c r="Y22" s="16">
        <v>21.508633763705241</v>
      </c>
      <c r="Z22" s="16">
        <v>1.7255596501703605</v>
      </c>
      <c r="AA22" s="15">
        <v>2.5514238335827484</v>
      </c>
      <c r="AB22" s="15">
        <v>0.18876085061645559</v>
      </c>
      <c r="AC22" s="17">
        <v>6.9238204682023436</v>
      </c>
      <c r="AD22" s="17">
        <v>0.74855957677183127</v>
      </c>
      <c r="AE22" s="18">
        <v>1500.4343152779174</v>
      </c>
      <c r="AF22" s="18">
        <v>101.16804523939363</v>
      </c>
      <c r="AG22" s="18">
        <v>7553.2547304333566</v>
      </c>
      <c r="AH22" s="18">
        <v>342.14046786045589</v>
      </c>
      <c r="AI22" s="26">
        <v>0</v>
      </c>
      <c r="AJ22" s="32" t="s">
        <v>70</v>
      </c>
    </row>
    <row r="23" spans="1:36" ht="16" x14ac:dyDescent="0.2">
      <c r="A23" s="8">
        <v>3</v>
      </c>
      <c r="B23" s="8">
        <v>1</v>
      </c>
      <c r="C23" s="8" t="s">
        <v>71</v>
      </c>
      <c r="D23" s="8">
        <v>330</v>
      </c>
      <c r="E23" s="8">
        <v>330</v>
      </c>
      <c r="F23" s="8">
        <v>0</v>
      </c>
      <c r="G23" s="8" t="s">
        <v>72</v>
      </c>
      <c r="H23" s="14">
        <v>44339.229861111111</v>
      </c>
      <c r="I23" s="25">
        <v>44341.583333333336</v>
      </c>
      <c r="J23" s="25">
        <v>44341.69027777778</v>
      </c>
      <c r="K23" s="25">
        <v>44341.913229166668</v>
      </c>
      <c r="L23" s="8">
        <v>48.884501</v>
      </c>
      <c r="M23" s="8">
        <v>-14.768947000000001</v>
      </c>
      <c r="N23" s="8"/>
      <c r="O23" s="8"/>
      <c r="P23" s="26">
        <v>48.811900000000001</v>
      </c>
      <c r="Q23" s="26">
        <v>-14.85308</v>
      </c>
      <c r="R23" s="8">
        <v>48.806046000000002</v>
      </c>
      <c r="S23" s="8">
        <v>-14.726118</v>
      </c>
      <c r="T23" s="8" t="s">
        <v>78</v>
      </c>
      <c r="U23" s="15">
        <v>16.668794403573447</v>
      </c>
      <c r="V23" s="15">
        <v>1.1185088279237243</v>
      </c>
      <c r="W23" s="15">
        <v>1.7907710746419232</v>
      </c>
      <c r="X23" s="15">
        <v>0.39656405758419533</v>
      </c>
      <c r="Y23" s="16">
        <v>14.878023328931523</v>
      </c>
      <c r="Z23" s="16">
        <v>1.1867287179094237</v>
      </c>
      <c r="AA23" s="15">
        <v>2.7754791457209214</v>
      </c>
      <c r="AB23" s="15">
        <v>1.514754558620502</v>
      </c>
      <c r="AC23" s="17">
        <v>6.0139847600444103</v>
      </c>
      <c r="AD23" s="17">
        <v>5.7598963282368555E-2</v>
      </c>
      <c r="AE23" s="18">
        <v>1040.9796295932788</v>
      </c>
      <c r="AF23" s="18">
        <v>42.085267705256406</v>
      </c>
      <c r="AG23" s="18">
        <v>5401.0551154318191</v>
      </c>
      <c r="AH23" s="18">
        <v>316.90044600123139</v>
      </c>
      <c r="AI23" s="26">
        <v>0</v>
      </c>
      <c r="AJ23" s="32" t="s">
        <v>73</v>
      </c>
    </row>
    <row r="24" spans="1:36" ht="32" x14ac:dyDescent="0.2">
      <c r="A24" s="8">
        <v>3</v>
      </c>
      <c r="B24" s="8">
        <v>1</v>
      </c>
      <c r="C24" s="8" t="s">
        <v>74</v>
      </c>
      <c r="D24" s="19">
        <v>500</v>
      </c>
      <c r="E24" s="19">
        <v>502</v>
      </c>
      <c r="F24" s="8">
        <v>0</v>
      </c>
      <c r="G24" s="8" t="s">
        <v>75</v>
      </c>
      <c r="H24" s="14">
        <v>44339.13958333333</v>
      </c>
      <c r="I24" s="25">
        <v>44341.888888888891</v>
      </c>
      <c r="J24" s="25">
        <v>44341.668055555558</v>
      </c>
      <c r="K24" s="25">
        <v>44341.888923611114</v>
      </c>
      <c r="L24" s="8">
        <v>48.884616999999999</v>
      </c>
      <c r="M24" s="8">
        <v>-14.768558000000001</v>
      </c>
      <c r="N24" s="8"/>
      <c r="O24" s="8"/>
      <c r="P24" s="26">
        <v>48.846789999999999</v>
      </c>
      <c r="Q24" s="26">
        <v>-14.815250000000001</v>
      </c>
      <c r="R24" s="8">
        <v>48.857812000000003</v>
      </c>
      <c r="S24" s="8">
        <v>-14.736414</v>
      </c>
      <c r="T24" s="8" t="s">
        <v>78</v>
      </c>
      <c r="U24" s="15">
        <v>8.4633986966010895</v>
      </c>
      <c r="V24" s="15">
        <v>1.5680934719840225</v>
      </c>
      <c r="W24" s="15">
        <v>0.68199541498426364</v>
      </c>
      <c r="X24" s="15">
        <v>0.15265462319465831</v>
      </c>
      <c r="Y24" s="16">
        <v>7.7814032816168259</v>
      </c>
      <c r="Z24" s="16">
        <v>1.5755064490066708</v>
      </c>
      <c r="AA24" s="15">
        <v>0.86954345683345891</v>
      </c>
      <c r="AB24" s="15">
        <v>0.2462417611501983</v>
      </c>
      <c r="AC24" s="17">
        <v>2.2172324030464945</v>
      </c>
      <c r="AD24" s="17">
        <v>0.15559009083220413</v>
      </c>
      <c r="AE24" s="18">
        <v>411.590381283851</v>
      </c>
      <c r="AF24" s="18">
        <v>10.232886478730235</v>
      </c>
      <c r="AG24" s="18">
        <v>1931.4443755986472</v>
      </c>
      <c r="AH24" s="18">
        <v>243.83372570305255</v>
      </c>
      <c r="AI24" s="26">
        <v>3</v>
      </c>
      <c r="AJ24" s="34" t="s">
        <v>76</v>
      </c>
    </row>
    <row r="25" spans="1:36" x14ac:dyDescent="0.2">
      <c r="E25" s="20"/>
      <c r="H25" s="21"/>
      <c r="I25" s="21"/>
      <c r="J25" s="21"/>
      <c r="K25" s="21"/>
      <c r="L25" s="22"/>
      <c r="M25" s="22"/>
      <c r="N25" s="20"/>
      <c r="O25" s="20"/>
      <c r="P25" s="22"/>
      <c r="Q25" s="22"/>
      <c r="R25" s="22"/>
      <c r="S25" s="22"/>
      <c r="AG25" s="20"/>
      <c r="AH25" s="20"/>
      <c r="AI25" s="20"/>
    </row>
    <row r="26" spans="1:36" x14ac:dyDescent="0.2">
      <c r="E26" s="20"/>
      <c r="H26" s="21"/>
      <c r="I26" s="21"/>
      <c r="J26" s="21"/>
      <c r="K26" s="21"/>
      <c r="L26" s="22"/>
      <c r="M26" s="22"/>
      <c r="N26" s="20"/>
      <c r="O26" s="20"/>
      <c r="P26" s="22"/>
      <c r="Q26" s="22"/>
      <c r="R26" s="22"/>
      <c r="S26" s="22"/>
      <c r="AG26" s="20"/>
      <c r="AH26" s="20"/>
    </row>
    <row r="27" spans="1:36" ht="16" x14ac:dyDescent="0.2">
      <c r="A27" s="29"/>
      <c r="B27"/>
      <c r="E27" s="20"/>
      <c r="H27" s="21"/>
      <c r="I27" s="21"/>
      <c r="J27" s="21"/>
      <c r="K27" s="21"/>
      <c r="L27" s="22"/>
      <c r="M27" s="22"/>
      <c r="N27" s="20"/>
      <c r="O27" s="20"/>
      <c r="P27" s="22"/>
      <c r="Q27" s="22"/>
      <c r="R27" s="22"/>
      <c r="S27" s="22"/>
      <c r="AG27" s="20"/>
      <c r="AH27" s="20"/>
    </row>
    <row r="28" spans="1:36" x14ac:dyDescent="0.2">
      <c r="A28"/>
      <c r="B28"/>
      <c r="E28" s="20"/>
      <c r="H28" s="21"/>
      <c r="I28" s="21"/>
      <c r="J28" s="21"/>
      <c r="K28" s="21"/>
      <c r="L28" s="22"/>
      <c r="M28" s="22"/>
      <c r="N28" s="20"/>
      <c r="O28" s="20"/>
      <c r="P28" s="22"/>
      <c r="Q28" s="22"/>
      <c r="R28" s="22"/>
      <c r="S28" s="22"/>
      <c r="AG28" s="20"/>
      <c r="AH28" s="20"/>
    </row>
    <row r="29" spans="1:36" x14ac:dyDescent="0.2">
      <c r="A29"/>
      <c r="B29"/>
      <c r="E29" s="20"/>
      <c r="H29" s="21"/>
      <c r="I29" s="21"/>
      <c r="J29" s="21"/>
      <c r="K29" s="21"/>
      <c r="M29" s="22"/>
      <c r="N29" s="22"/>
      <c r="O29" s="22"/>
      <c r="P29" s="22"/>
      <c r="Q29" s="22"/>
      <c r="R29" s="22"/>
      <c r="S29" s="22"/>
      <c r="AG29" s="20"/>
      <c r="AH29" s="20"/>
    </row>
    <row r="30" spans="1:36" x14ac:dyDescent="0.2">
      <c r="A30"/>
      <c r="B30"/>
      <c r="E30" s="20"/>
      <c r="H30" s="21"/>
      <c r="I30" s="21"/>
      <c r="J30" s="21"/>
      <c r="K30" s="21"/>
      <c r="L30" s="22"/>
      <c r="M30" s="22"/>
      <c r="N30" s="22"/>
      <c r="O30" s="22"/>
      <c r="P30" s="22"/>
      <c r="Q30" s="22"/>
      <c r="R30" s="22"/>
      <c r="S30" s="22"/>
      <c r="AG30" s="20"/>
      <c r="AH30" s="20"/>
    </row>
    <row r="31" spans="1:36" x14ac:dyDescent="0.2">
      <c r="A31"/>
      <c r="B31"/>
      <c r="E31" s="20"/>
      <c r="H31" s="21"/>
      <c r="I31" s="21"/>
      <c r="J31" s="21"/>
      <c r="K31" s="21"/>
      <c r="L31" s="22"/>
      <c r="M31" s="22"/>
      <c r="N31" s="22"/>
      <c r="O31" s="22"/>
      <c r="P31" s="22"/>
      <c r="Q31" s="22"/>
      <c r="R31" s="22"/>
      <c r="S31" s="22"/>
      <c r="AG31" s="20"/>
      <c r="AH31" s="20"/>
    </row>
    <row r="32" spans="1:36" x14ac:dyDescent="0.2">
      <c r="A32"/>
      <c r="B32"/>
      <c r="E32" s="20"/>
      <c r="H32" s="21"/>
      <c r="I32" s="21"/>
      <c r="J32" s="21"/>
      <c r="K32" s="21"/>
      <c r="L32" s="22"/>
      <c r="M32" s="22"/>
      <c r="N32" s="22"/>
      <c r="O32" s="22"/>
      <c r="P32" s="22"/>
      <c r="Q32" s="22"/>
      <c r="R32" s="22"/>
      <c r="S32" s="22"/>
      <c r="AG32" s="20"/>
      <c r="AH32" s="20"/>
    </row>
    <row r="33" spans="1:34" x14ac:dyDescent="0.2">
      <c r="A33"/>
      <c r="B33"/>
      <c r="E33" s="20"/>
      <c r="G33" s="2"/>
      <c r="H33" s="21"/>
      <c r="I33" s="21"/>
      <c r="J33" s="21"/>
      <c r="K33" s="21"/>
      <c r="L33" s="22"/>
      <c r="M33" s="22"/>
      <c r="N33" s="22"/>
      <c r="O33" s="22"/>
      <c r="P33" s="22"/>
      <c r="Q33" s="22"/>
      <c r="R33" s="22"/>
      <c r="S33" s="22"/>
      <c r="AG33" s="20"/>
      <c r="AH33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splits</vt:lpstr>
      <vt:lpstr>mean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Elly Breves</dc:creator>
  <cp:keywords/>
  <dc:description/>
  <cp:lastModifiedBy>Margaret Estapa</cp:lastModifiedBy>
  <cp:revision/>
  <dcterms:created xsi:type="dcterms:W3CDTF">2019-08-20T18:52:49Z</dcterms:created>
  <dcterms:modified xsi:type="dcterms:W3CDTF">2022-05-11T17:44:12Z</dcterms:modified>
  <cp:category/>
  <cp:contentStatus/>
</cp:coreProperties>
</file>