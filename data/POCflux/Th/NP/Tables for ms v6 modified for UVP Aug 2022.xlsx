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Files\AtlanTZ\NASA ROSES\EXPORTS proposals\LETZGO EXPORTS\Post 2018 cruise\234Th ms files\Revised files sent after revision\"/>
    </mc:Choice>
  </mc:AlternateContent>
  <xr:revisionPtr revIDLastSave="0" documentId="13_ncr:1_{0BB0E240-64C2-4AA2-8E3C-84A69311A797}" xr6:coauthVersionLast="47" xr6:coauthVersionMax="47" xr10:uidLastSave="{00000000-0000-0000-0000-000000000000}"/>
  <bookViews>
    <workbookView xWindow="-108" yWindow="-108" windowWidth="30936" windowHeight="18816" activeTab="4" xr2:uid="{00000000-000D-0000-FFFF-FFFF00000000}"/>
  </bookViews>
  <sheets>
    <sheet name="Table 1" sheetId="1" r:id="rId1"/>
    <sheet name="Table 2" sheetId="2" r:id="rId2"/>
    <sheet name="Table 3" sheetId="6" r:id="rId3"/>
    <sheet name="Table 4" sheetId="3" r:id="rId4"/>
    <sheet name="Table S1" sheetId="7" r:id="rId5"/>
    <sheet name="Table S2" sheetId="8" r:id="rId6"/>
    <sheet name="Table S3" sheetId="9" r:id="rId7"/>
  </sheets>
  <externalReferences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765" i="7" l="1"/>
  <c r="U765" i="7" s="1"/>
  <c r="T764" i="7"/>
  <c r="U764" i="7" s="1"/>
  <c r="T763" i="7"/>
  <c r="U763" i="7" s="1"/>
  <c r="T762" i="7"/>
  <c r="U762" i="7" s="1"/>
  <c r="T761" i="7"/>
  <c r="U761" i="7" s="1"/>
  <c r="T760" i="7"/>
  <c r="U760" i="7" s="1"/>
  <c r="T759" i="7"/>
  <c r="U759" i="7" s="1"/>
  <c r="T758" i="7"/>
  <c r="U758" i="7" s="1"/>
  <c r="T757" i="7"/>
  <c r="U757" i="7" s="1"/>
  <c r="T756" i="7"/>
  <c r="U756" i="7" s="1"/>
  <c r="T755" i="7"/>
  <c r="U755" i="7" s="1"/>
  <c r="T754" i="7"/>
  <c r="U754" i="7" s="1"/>
  <c r="T753" i="7"/>
  <c r="U753" i="7" s="1"/>
  <c r="T752" i="7"/>
  <c r="U752" i="7" s="1"/>
  <c r="T751" i="7"/>
  <c r="U751" i="7" s="1"/>
  <c r="T750" i="7"/>
  <c r="U750" i="7" s="1"/>
  <c r="T749" i="7"/>
  <c r="U749" i="7" s="1"/>
  <c r="T748" i="7"/>
  <c r="U748" i="7" s="1"/>
  <c r="T747" i="7"/>
  <c r="U747" i="7" s="1"/>
  <c r="T746" i="7"/>
  <c r="U746" i="7" s="1"/>
  <c r="T745" i="7"/>
  <c r="U745" i="7" s="1"/>
  <c r="T744" i="7"/>
  <c r="U744" i="7" s="1"/>
  <c r="T743" i="7"/>
  <c r="U743" i="7" s="1"/>
  <c r="T742" i="7"/>
  <c r="U742" i="7" s="1"/>
  <c r="T741" i="7"/>
  <c r="U741" i="7" s="1"/>
  <c r="T740" i="7"/>
  <c r="U740" i="7" s="1"/>
  <c r="T739" i="7"/>
  <c r="U739" i="7" s="1"/>
  <c r="T738" i="7"/>
  <c r="U738" i="7" s="1"/>
  <c r="T737" i="7"/>
  <c r="U737" i="7" s="1"/>
  <c r="T736" i="7"/>
  <c r="U736" i="7" s="1"/>
  <c r="T735" i="7"/>
  <c r="U735" i="7" s="1"/>
  <c r="T734" i="7"/>
  <c r="U734" i="7" s="1"/>
  <c r="T733" i="7"/>
  <c r="U733" i="7" s="1"/>
  <c r="T732" i="7"/>
  <c r="U732" i="7" s="1"/>
  <c r="T731" i="7"/>
  <c r="U731" i="7" s="1"/>
  <c r="T730" i="7"/>
  <c r="U730" i="7" s="1"/>
  <c r="T729" i="7"/>
  <c r="U729" i="7" s="1"/>
  <c r="T728" i="7"/>
  <c r="U728" i="7" s="1"/>
  <c r="T727" i="7"/>
  <c r="U727" i="7" s="1"/>
  <c r="T726" i="7"/>
  <c r="U726" i="7" s="1"/>
  <c r="T725" i="7"/>
  <c r="U725" i="7" s="1"/>
  <c r="T724" i="7"/>
  <c r="U724" i="7" s="1"/>
  <c r="T723" i="7"/>
  <c r="U723" i="7" s="1"/>
  <c r="T722" i="7"/>
  <c r="U722" i="7" s="1"/>
  <c r="T721" i="7"/>
  <c r="U721" i="7" s="1"/>
  <c r="T720" i="7"/>
  <c r="U720" i="7" s="1"/>
  <c r="T719" i="7"/>
  <c r="U719" i="7" s="1"/>
  <c r="T718" i="7"/>
  <c r="U718" i="7" s="1"/>
  <c r="T717" i="7"/>
  <c r="U717" i="7" s="1"/>
  <c r="T716" i="7"/>
  <c r="U716" i="7" s="1"/>
  <c r="U715" i="7"/>
  <c r="T715" i="7"/>
  <c r="T714" i="7"/>
  <c r="U714" i="7" s="1"/>
  <c r="T713" i="7"/>
  <c r="U713" i="7" s="1"/>
  <c r="T712" i="7"/>
  <c r="U712" i="7" s="1"/>
  <c r="T711" i="7"/>
  <c r="U711" i="7" s="1"/>
  <c r="T710" i="7"/>
  <c r="U710" i="7" s="1"/>
  <c r="U709" i="7"/>
  <c r="T709" i="7"/>
  <c r="T708" i="7"/>
  <c r="U708" i="7" s="1"/>
  <c r="T707" i="7"/>
  <c r="U707" i="7" s="1"/>
  <c r="T706" i="7"/>
  <c r="U706" i="7" s="1"/>
  <c r="T705" i="7"/>
  <c r="U705" i="7" s="1"/>
  <c r="T704" i="7"/>
  <c r="U704" i="7" s="1"/>
  <c r="U703" i="7"/>
  <c r="T703" i="7"/>
  <c r="T702" i="7"/>
  <c r="U702" i="7" s="1"/>
  <c r="T701" i="7"/>
  <c r="U701" i="7" s="1"/>
  <c r="T700" i="7"/>
  <c r="U700" i="7" s="1"/>
  <c r="T699" i="7"/>
  <c r="U699" i="7" s="1"/>
  <c r="T698" i="7"/>
  <c r="U698" i="7" s="1"/>
  <c r="U697" i="7"/>
  <c r="T697" i="7"/>
  <c r="T696" i="7"/>
  <c r="U696" i="7" s="1"/>
  <c r="T695" i="7"/>
  <c r="U695" i="7" s="1"/>
  <c r="T694" i="7"/>
  <c r="U694" i="7" s="1"/>
  <c r="T693" i="7"/>
  <c r="U693" i="7" s="1"/>
  <c r="T692" i="7"/>
  <c r="U692" i="7" s="1"/>
  <c r="U691" i="7"/>
  <c r="T691" i="7"/>
  <c r="T690" i="7"/>
  <c r="U690" i="7" s="1"/>
  <c r="T689" i="7"/>
  <c r="U689" i="7" s="1"/>
  <c r="T688" i="7"/>
  <c r="U688" i="7" s="1"/>
  <c r="T687" i="7"/>
  <c r="U687" i="7" s="1"/>
  <c r="T686" i="7"/>
  <c r="U686" i="7" s="1"/>
  <c r="U685" i="7"/>
  <c r="T685" i="7"/>
  <c r="T684" i="7"/>
  <c r="U684" i="7" s="1"/>
  <c r="T683" i="7"/>
  <c r="U683" i="7" s="1"/>
  <c r="T682" i="7"/>
  <c r="U682" i="7" s="1"/>
  <c r="T681" i="7"/>
  <c r="U681" i="7" s="1"/>
  <c r="T680" i="7"/>
  <c r="U680" i="7" s="1"/>
  <c r="U679" i="7"/>
  <c r="T679" i="7"/>
  <c r="T678" i="7"/>
  <c r="U678" i="7" s="1"/>
  <c r="T677" i="7"/>
  <c r="U677" i="7" s="1"/>
  <c r="T676" i="7"/>
  <c r="U676" i="7" s="1"/>
  <c r="T675" i="7"/>
  <c r="U675" i="7" s="1"/>
  <c r="T674" i="7"/>
  <c r="U674" i="7" s="1"/>
  <c r="U673" i="7"/>
  <c r="T673" i="7"/>
  <c r="T672" i="7"/>
  <c r="U672" i="7" s="1"/>
  <c r="T671" i="7"/>
  <c r="U671" i="7" s="1"/>
  <c r="T670" i="7"/>
  <c r="U670" i="7" s="1"/>
  <c r="T669" i="7"/>
  <c r="U669" i="7" s="1"/>
  <c r="T668" i="7"/>
  <c r="U668" i="7" s="1"/>
  <c r="U667" i="7"/>
  <c r="T667" i="7"/>
  <c r="T666" i="7"/>
  <c r="U666" i="7" s="1"/>
  <c r="T665" i="7"/>
  <c r="U665" i="7" s="1"/>
  <c r="T664" i="7"/>
  <c r="U664" i="7" s="1"/>
  <c r="T663" i="7"/>
  <c r="U663" i="7" s="1"/>
  <c r="T662" i="7"/>
  <c r="U662" i="7" s="1"/>
  <c r="U661" i="7"/>
  <c r="T661" i="7"/>
  <c r="T660" i="7"/>
  <c r="U660" i="7" s="1"/>
  <c r="T659" i="7"/>
  <c r="U659" i="7" s="1"/>
  <c r="T658" i="7"/>
  <c r="U658" i="7" s="1"/>
  <c r="T657" i="7"/>
  <c r="U657" i="7" s="1"/>
  <c r="T656" i="7"/>
  <c r="U656" i="7" s="1"/>
  <c r="U655" i="7"/>
  <c r="T655" i="7"/>
  <c r="T654" i="7"/>
  <c r="U654" i="7" s="1"/>
  <c r="T653" i="7"/>
  <c r="U653" i="7" s="1"/>
  <c r="T652" i="7"/>
  <c r="U652" i="7" s="1"/>
  <c r="T651" i="7"/>
  <c r="U651" i="7" s="1"/>
  <c r="T650" i="7"/>
  <c r="U650" i="7" s="1"/>
  <c r="U649" i="7"/>
  <c r="T649" i="7"/>
  <c r="T648" i="7"/>
  <c r="U648" i="7" s="1"/>
  <c r="T647" i="7"/>
  <c r="U647" i="7" s="1"/>
  <c r="T646" i="7"/>
  <c r="U646" i="7" s="1"/>
  <c r="T645" i="7"/>
  <c r="U645" i="7" s="1"/>
  <c r="T644" i="7"/>
  <c r="U644" i="7" s="1"/>
  <c r="U643" i="7"/>
  <c r="T643" i="7"/>
  <c r="T642" i="7"/>
  <c r="U642" i="7" s="1"/>
  <c r="T641" i="7"/>
  <c r="U641" i="7" s="1"/>
  <c r="T640" i="7"/>
  <c r="U640" i="7" s="1"/>
  <c r="T639" i="7"/>
  <c r="U639" i="7" s="1"/>
  <c r="T638" i="7"/>
  <c r="U638" i="7" s="1"/>
  <c r="U637" i="7"/>
  <c r="T637" i="7"/>
  <c r="T636" i="7"/>
  <c r="U636" i="7" s="1"/>
  <c r="T635" i="7"/>
  <c r="U635" i="7" s="1"/>
  <c r="T634" i="7"/>
  <c r="U634" i="7" s="1"/>
  <c r="T633" i="7"/>
  <c r="U633" i="7" s="1"/>
  <c r="T632" i="7"/>
  <c r="U632" i="7" s="1"/>
  <c r="U631" i="7"/>
  <c r="T631" i="7"/>
  <c r="T630" i="7"/>
  <c r="U630" i="7" s="1"/>
  <c r="T629" i="7"/>
  <c r="U629" i="7" s="1"/>
  <c r="T628" i="7"/>
  <c r="U628" i="7" s="1"/>
  <c r="T627" i="7"/>
  <c r="U627" i="7" s="1"/>
  <c r="T626" i="7"/>
  <c r="U626" i="7" s="1"/>
  <c r="U625" i="7"/>
  <c r="T625" i="7"/>
  <c r="T624" i="7"/>
  <c r="U624" i="7" s="1"/>
  <c r="T623" i="7"/>
  <c r="U623" i="7" s="1"/>
  <c r="T622" i="7"/>
  <c r="U622" i="7" s="1"/>
  <c r="T621" i="7"/>
  <c r="U621" i="7" s="1"/>
  <c r="T620" i="7"/>
  <c r="U620" i="7" s="1"/>
  <c r="U619" i="7"/>
  <c r="T619" i="7"/>
  <c r="T618" i="7"/>
  <c r="U618" i="7" s="1"/>
  <c r="T617" i="7"/>
  <c r="U617" i="7" s="1"/>
  <c r="T616" i="7"/>
  <c r="U616" i="7" s="1"/>
  <c r="T615" i="7"/>
  <c r="U615" i="7" s="1"/>
  <c r="T614" i="7"/>
  <c r="U614" i="7" s="1"/>
  <c r="U613" i="7"/>
  <c r="T613" i="7"/>
  <c r="T612" i="7"/>
  <c r="U612" i="7" s="1"/>
  <c r="T611" i="7"/>
  <c r="U611" i="7" s="1"/>
  <c r="T610" i="7"/>
  <c r="U610" i="7" s="1"/>
  <c r="T609" i="7"/>
  <c r="U609" i="7" s="1"/>
  <c r="T608" i="7"/>
  <c r="U608" i="7" s="1"/>
  <c r="U607" i="7"/>
  <c r="T607" i="7"/>
  <c r="T606" i="7"/>
  <c r="U606" i="7" s="1"/>
  <c r="T605" i="7"/>
  <c r="U605" i="7" s="1"/>
  <c r="T604" i="7"/>
  <c r="U604" i="7" s="1"/>
  <c r="T603" i="7"/>
  <c r="U603" i="7" s="1"/>
  <c r="T602" i="7"/>
  <c r="U602" i="7" s="1"/>
  <c r="U601" i="7"/>
  <c r="T601" i="7"/>
  <c r="T600" i="7"/>
  <c r="U600" i="7" s="1"/>
  <c r="T599" i="7"/>
  <c r="U599" i="7" s="1"/>
  <c r="T598" i="7"/>
  <c r="U598" i="7" s="1"/>
  <c r="T597" i="7"/>
  <c r="U597" i="7" s="1"/>
  <c r="T596" i="7"/>
  <c r="U596" i="7" s="1"/>
  <c r="U595" i="7"/>
  <c r="T595" i="7"/>
  <c r="T594" i="7"/>
  <c r="U594" i="7" s="1"/>
  <c r="T593" i="7"/>
  <c r="U593" i="7" s="1"/>
  <c r="T592" i="7"/>
  <c r="U592" i="7" s="1"/>
  <c r="T591" i="7"/>
  <c r="U591" i="7" s="1"/>
  <c r="T590" i="7"/>
  <c r="U590" i="7" s="1"/>
  <c r="U589" i="7"/>
  <c r="T589" i="7"/>
  <c r="T588" i="7"/>
  <c r="U588" i="7" s="1"/>
  <c r="T587" i="7"/>
  <c r="U587" i="7" s="1"/>
  <c r="T586" i="7"/>
  <c r="U586" i="7" s="1"/>
  <c r="T585" i="7"/>
  <c r="U585" i="7" s="1"/>
  <c r="T584" i="7"/>
  <c r="U584" i="7" s="1"/>
  <c r="U583" i="7"/>
  <c r="T583" i="7"/>
  <c r="T582" i="7"/>
  <c r="U582" i="7" s="1"/>
  <c r="T581" i="7"/>
  <c r="U581" i="7" s="1"/>
  <c r="T580" i="7"/>
  <c r="U580" i="7" s="1"/>
  <c r="T579" i="7"/>
  <c r="U579" i="7" s="1"/>
  <c r="T578" i="7"/>
  <c r="U578" i="7" s="1"/>
  <c r="U577" i="7"/>
  <c r="T577" i="7"/>
  <c r="T576" i="7"/>
  <c r="U576" i="7" s="1"/>
  <c r="T575" i="7"/>
  <c r="U575" i="7" s="1"/>
  <c r="T574" i="7"/>
  <c r="U574" i="7" s="1"/>
  <c r="T573" i="7"/>
  <c r="U573" i="7" s="1"/>
  <c r="T572" i="7"/>
  <c r="U572" i="7" s="1"/>
  <c r="U571" i="7"/>
  <c r="T571" i="7"/>
  <c r="T570" i="7"/>
  <c r="U570" i="7" s="1"/>
  <c r="T569" i="7"/>
  <c r="U569" i="7" s="1"/>
  <c r="T568" i="7"/>
  <c r="U568" i="7" s="1"/>
  <c r="T567" i="7"/>
  <c r="U567" i="7" s="1"/>
  <c r="T566" i="7"/>
  <c r="U566" i="7" s="1"/>
  <c r="U565" i="7"/>
  <c r="T565" i="7"/>
  <c r="T564" i="7"/>
  <c r="U564" i="7" s="1"/>
  <c r="T563" i="7"/>
  <c r="U563" i="7" s="1"/>
  <c r="T562" i="7"/>
  <c r="U562" i="7" s="1"/>
  <c r="T561" i="7"/>
  <c r="U561" i="7" s="1"/>
  <c r="T560" i="7"/>
  <c r="U560" i="7" s="1"/>
  <c r="U559" i="7"/>
  <c r="T559" i="7"/>
  <c r="T558" i="7"/>
  <c r="U558" i="7" s="1"/>
  <c r="T557" i="7"/>
  <c r="U557" i="7" s="1"/>
  <c r="T556" i="7"/>
  <c r="U556" i="7" s="1"/>
  <c r="T555" i="7"/>
  <c r="U555" i="7" s="1"/>
  <c r="T554" i="7"/>
  <c r="U554" i="7" s="1"/>
  <c r="U553" i="7"/>
  <c r="T553" i="7"/>
  <c r="T552" i="7"/>
  <c r="U552" i="7" s="1"/>
  <c r="T551" i="7"/>
  <c r="U551" i="7" s="1"/>
  <c r="T550" i="7"/>
  <c r="U550" i="7" s="1"/>
  <c r="T549" i="7"/>
  <c r="U549" i="7" s="1"/>
  <c r="T548" i="7"/>
  <c r="U548" i="7" s="1"/>
  <c r="U547" i="7"/>
  <c r="T547" i="7"/>
  <c r="T546" i="7"/>
  <c r="U546" i="7" s="1"/>
  <c r="T545" i="7"/>
  <c r="U545" i="7" s="1"/>
  <c r="T544" i="7"/>
  <c r="U544" i="7" s="1"/>
  <c r="T543" i="7"/>
  <c r="U543" i="7" s="1"/>
  <c r="T542" i="7"/>
  <c r="U542" i="7" s="1"/>
  <c r="U541" i="7"/>
  <c r="T541" i="7"/>
  <c r="T540" i="7"/>
  <c r="U540" i="7" s="1"/>
  <c r="T539" i="7"/>
  <c r="U539" i="7" s="1"/>
  <c r="T538" i="7"/>
  <c r="U538" i="7" s="1"/>
  <c r="T537" i="7"/>
  <c r="U537" i="7" s="1"/>
  <c r="T536" i="7"/>
  <c r="U536" i="7" s="1"/>
  <c r="U535" i="7"/>
  <c r="T535" i="7"/>
  <c r="T534" i="7"/>
  <c r="U534" i="7" s="1"/>
  <c r="T533" i="7"/>
  <c r="U533" i="7" s="1"/>
  <c r="T532" i="7"/>
  <c r="U532" i="7" s="1"/>
  <c r="T531" i="7"/>
  <c r="U531" i="7" s="1"/>
  <c r="T530" i="7"/>
  <c r="U530" i="7" s="1"/>
  <c r="U529" i="7"/>
  <c r="T529" i="7"/>
  <c r="T528" i="7"/>
  <c r="U528" i="7" s="1"/>
  <c r="T527" i="7"/>
  <c r="U527" i="7" s="1"/>
  <c r="T526" i="7"/>
  <c r="U526" i="7" s="1"/>
  <c r="T525" i="7"/>
  <c r="U525" i="7" s="1"/>
  <c r="T524" i="7"/>
  <c r="U524" i="7" s="1"/>
  <c r="U523" i="7"/>
  <c r="T523" i="7"/>
  <c r="T522" i="7"/>
  <c r="U522" i="7" s="1"/>
  <c r="T521" i="7"/>
  <c r="U521" i="7" s="1"/>
  <c r="T520" i="7"/>
  <c r="U520" i="7" s="1"/>
  <c r="T519" i="7"/>
  <c r="U519" i="7" s="1"/>
  <c r="T518" i="7"/>
  <c r="U518" i="7" s="1"/>
  <c r="U517" i="7"/>
  <c r="T517" i="7"/>
  <c r="T516" i="7"/>
  <c r="U516" i="7" s="1"/>
  <c r="T515" i="7"/>
  <c r="U515" i="7" s="1"/>
  <c r="T514" i="7"/>
  <c r="U514" i="7" s="1"/>
  <c r="T513" i="7"/>
  <c r="U513" i="7" s="1"/>
  <c r="T512" i="7"/>
  <c r="U512" i="7" s="1"/>
  <c r="U511" i="7"/>
  <c r="T511" i="7"/>
  <c r="T510" i="7"/>
  <c r="U510" i="7" s="1"/>
  <c r="T509" i="7"/>
  <c r="U509" i="7" s="1"/>
  <c r="T508" i="7"/>
  <c r="U508" i="7" s="1"/>
  <c r="T507" i="7"/>
  <c r="U507" i="7" s="1"/>
  <c r="T506" i="7"/>
  <c r="U506" i="7" s="1"/>
  <c r="U505" i="7"/>
  <c r="T505" i="7"/>
  <c r="T504" i="7"/>
  <c r="U504" i="7" s="1"/>
  <c r="T503" i="7"/>
  <c r="U503" i="7" s="1"/>
  <c r="T502" i="7"/>
  <c r="U502" i="7" s="1"/>
  <c r="T501" i="7"/>
  <c r="U501" i="7" s="1"/>
  <c r="T500" i="7"/>
  <c r="U500" i="7" s="1"/>
  <c r="U499" i="7"/>
  <c r="T499" i="7"/>
  <c r="T498" i="7"/>
  <c r="U498" i="7" s="1"/>
  <c r="T497" i="7"/>
  <c r="U497" i="7" s="1"/>
  <c r="T496" i="7"/>
  <c r="U496" i="7" s="1"/>
  <c r="T495" i="7"/>
  <c r="U495" i="7" s="1"/>
  <c r="T494" i="7"/>
  <c r="U494" i="7" s="1"/>
  <c r="U493" i="7"/>
  <c r="T493" i="7"/>
  <c r="T492" i="7"/>
  <c r="U492" i="7" s="1"/>
  <c r="T491" i="7"/>
  <c r="U491" i="7" s="1"/>
  <c r="T490" i="7"/>
  <c r="U490" i="7" s="1"/>
  <c r="T489" i="7"/>
  <c r="U489" i="7" s="1"/>
  <c r="T488" i="7"/>
  <c r="U488" i="7" s="1"/>
  <c r="U487" i="7"/>
  <c r="T487" i="7"/>
  <c r="T486" i="7"/>
  <c r="U486" i="7" s="1"/>
  <c r="T485" i="7"/>
  <c r="U485" i="7" s="1"/>
  <c r="T484" i="7"/>
  <c r="U484" i="7" s="1"/>
  <c r="T483" i="7"/>
  <c r="U483" i="7" s="1"/>
  <c r="T482" i="7"/>
  <c r="U482" i="7" s="1"/>
  <c r="U481" i="7"/>
  <c r="T481" i="7"/>
  <c r="T480" i="7"/>
  <c r="U480" i="7" s="1"/>
  <c r="T479" i="7"/>
  <c r="U479" i="7" s="1"/>
  <c r="T478" i="7"/>
  <c r="U478" i="7" s="1"/>
  <c r="T477" i="7"/>
  <c r="U477" i="7" s="1"/>
  <c r="T476" i="7"/>
  <c r="U476" i="7" s="1"/>
  <c r="U475" i="7"/>
  <c r="T475" i="7"/>
  <c r="T474" i="7"/>
  <c r="U474" i="7" s="1"/>
  <c r="T473" i="7"/>
  <c r="U473" i="7" s="1"/>
  <c r="T472" i="7"/>
  <c r="U472" i="7" s="1"/>
  <c r="T471" i="7"/>
  <c r="U471" i="7" s="1"/>
  <c r="T470" i="7"/>
  <c r="U470" i="7" s="1"/>
  <c r="U469" i="7"/>
  <c r="T469" i="7"/>
  <c r="T468" i="7"/>
  <c r="U468" i="7" s="1"/>
  <c r="T467" i="7"/>
  <c r="U467" i="7" s="1"/>
  <c r="T466" i="7"/>
  <c r="U466" i="7" s="1"/>
  <c r="T465" i="7"/>
  <c r="U465" i="7" s="1"/>
  <c r="T464" i="7"/>
  <c r="U464" i="7" s="1"/>
  <c r="U463" i="7"/>
  <c r="T463" i="7"/>
  <c r="T462" i="7"/>
  <c r="U462" i="7" s="1"/>
  <c r="T461" i="7"/>
  <c r="U461" i="7" s="1"/>
  <c r="T460" i="7"/>
  <c r="U460" i="7" s="1"/>
  <c r="T459" i="7"/>
  <c r="U459" i="7" s="1"/>
  <c r="T458" i="7"/>
  <c r="U458" i="7" s="1"/>
  <c r="U457" i="7"/>
  <c r="T457" i="7"/>
  <c r="T456" i="7"/>
  <c r="U456" i="7" s="1"/>
  <c r="T455" i="7"/>
  <c r="U455" i="7" s="1"/>
  <c r="T454" i="7"/>
  <c r="U454" i="7" s="1"/>
  <c r="T453" i="7"/>
  <c r="U453" i="7" s="1"/>
  <c r="T452" i="7"/>
  <c r="U452" i="7" s="1"/>
  <c r="U451" i="7"/>
  <c r="T451" i="7"/>
  <c r="T450" i="7"/>
  <c r="U450" i="7" s="1"/>
  <c r="T449" i="7"/>
  <c r="U449" i="7" s="1"/>
  <c r="T448" i="7"/>
  <c r="U448" i="7" s="1"/>
  <c r="T447" i="7"/>
  <c r="U447" i="7" s="1"/>
  <c r="T446" i="7"/>
  <c r="U446" i="7" s="1"/>
  <c r="U445" i="7"/>
  <c r="T445" i="7"/>
  <c r="T444" i="7"/>
  <c r="U444" i="7" s="1"/>
  <c r="T443" i="7"/>
  <c r="U443" i="7" s="1"/>
  <c r="T442" i="7"/>
  <c r="U442" i="7" s="1"/>
  <c r="T441" i="7"/>
  <c r="U441" i="7" s="1"/>
  <c r="T440" i="7"/>
  <c r="U440" i="7" s="1"/>
  <c r="U439" i="7"/>
  <c r="T439" i="7"/>
  <c r="T438" i="7"/>
  <c r="U438" i="7" s="1"/>
  <c r="T437" i="7"/>
  <c r="U437" i="7" s="1"/>
  <c r="T436" i="7"/>
  <c r="U436" i="7" s="1"/>
  <c r="T435" i="7"/>
  <c r="U435" i="7" s="1"/>
  <c r="T434" i="7"/>
  <c r="U434" i="7" s="1"/>
  <c r="U433" i="7"/>
  <c r="T433" i="7"/>
  <c r="T432" i="7"/>
  <c r="U432" i="7" s="1"/>
  <c r="T431" i="7"/>
  <c r="U431" i="7" s="1"/>
  <c r="T430" i="7"/>
  <c r="U430" i="7" s="1"/>
  <c r="T429" i="7"/>
  <c r="U429" i="7" s="1"/>
  <c r="T428" i="7"/>
  <c r="U428" i="7" s="1"/>
  <c r="U427" i="7"/>
  <c r="T427" i="7"/>
  <c r="T426" i="7"/>
  <c r="U426" i="7" s="1"/>
  <c r="T425" i="7"/>
  <c r="U425" i="7" s="1"/>
  <c r="T424" i="7"/>
  <c r="U424" i="7" s="1"/>
  <c r="T423" i="7"/>
  <c r="U423" i="7" s="1"/>
  <c r="T422" i="7"/>
  <c r="U422" i="7" s="1"/>
  <c r="U421" i="7"/>
  <c r="T421" i="7"/>
  <c r="T420" i="7"/>
  <c r="U420" i="7" s="1"/>
  <c r="T419" i="7"/>
  <c r="U419" i="7" s="1"/>
  <c r="T418" i="7"/>
  <c r="U418" i="7" s="1"/>
  <c r="T417" i="7"/>
  <c r="U417" i="7" s="1"/>
  <c r="T416" i="7"/>
  <c r="U416" i="7" s="1"/>
  <c r="U415" i="7"/>
  <c r="T415" i="7"/>
  <c r="T414" i="7"/>
  <c r="U414" i="7" s="1"/>
  <c r="T413" i="7"/>
  <c r="U413" i="7" s="1"/>
  <c r="T412" i="7"/>
  <c r="U412" i="7" s="1"/>
  <c r="T411" i="7"/>
  <c r="U411" i="7" s="1"/>
  <c r="T410" i="7"/>
  <c r="U410" i="7" s="1"/>
  <c r="U409" i="7"/>
  <c r="T409" i="7"/>
  <c r="T408" i="7"/>
  <c r="U408" i="7" s="1"/>
  <c r="T407" i="7"/>
  <c r="U407" i="7" s="1"/>
  <c r="T406" i="7"/>
  <c r="U406" i="7" s="1"/>
  <c r="T405" i="7"/>
  <c r="U405" i="7" s="1"/>
  <c r="T404" i="7"/>
  <c r="U404" i="7" s="1"/>
  <c r="U403" i="7"/>
  <c r="T403" i="7"/>
  <c r="T402" i="7"/>
  <c r="U402" i="7" s="1"/>
  <c r="T401" i="7"/>
  <c r="U401" i="7" s="1"/>
  <c r="T400" i="7"/>
  <c r="U400" i="7" s="1"/>
  <c r="T399" i="7"/>
  <c r="U399" i="7" s="1"/>
  <c r="T398" i="7"/>
  <c r="U398" i="7" s="1"/>
  <c r="U397" i="7"/>
  <c r="T397" i="7"/>
  <c r="T396" i="7"/>
  <c r="U396" i="7" s="1"/>
  <c r="T395" i="7"/>
  <c r="U395" i="7" s="1"/>
  <c r="T394" i="7"/>
  <c r="U394" i="7" s="1"/>
  <c r="T393" i="7"/>
  <c r="U393" i="7" s="1"/>
  <c r="T392" i="7"/>
  <c r="U392" i="7" s="1"/>
  <c r="U391" i="7"/>
  <c r="T391" i="7"/>
  <c r="T390" i="7"/>
  <c r="U390" i="7" s="1"/>
  <c r="T389" i="7"/>
  <c r="U389" i="7" s="1"/>
  <c r="T388" i="7"/>
  <c r="U388" i="7" s="1"/>
  <c r="T387" i="7"/>
  <c r="U387" i="7" s="1"/>
  <c r="T386" i="7"/>
  <c r="U386" i="7" s="1"/>
  <c r="U385" i="7"/>
  <c r="T385" i="7"/>
  <c r="T384" i="7"/>
  <c r="U384" i="7" s="1"/>
  <c r="T383" i="7"/>
  <c r="U383" i="7" s="1"/>
  <c r="T382" i="7"/>
  <c r="U382" i="7" s="1"/>
  <c r="T381" i="7"/>
  <c r="U381" i="7" s="1"/>
  <c r="T380" i="7"/>
  <c r="U380" i="7" s="1"/>
  <c r="U379" i="7"/>
  <c r="T379" i="7"/>
  <c r="T378" i="7"/>
  <c r="U378" i="7" s="1"/>
  <c r="T377" i="7"/>
  <c r="U377" i="7" s="1"/>
  <c r="U376" i="7"/>
  <c r="T376" i="7"/>
  <c r="T375" i="7"/>
  <c r="U375" i="7" s="1"/>
  <c r="T374" i="7"/>
  <c r="U374" i="7" s="1"/>
  <c r="U373" i="7"/>
  <c r="T373" i="7"/>
  <c r="T372" i="7"/>
  <c r="U372" i="7" s="1"/>
  <c r="T371" i="7"/>
  <c r="U371" i="7" s="1"/>
  <c r="U370" i="7"/>
  <c r="T370" i="7"/>
  <c r="T369" i="7"/>
  <c r="U369" i="7" s="1"/>
  <c r="T368" i="7"/>
  <c r="U368" i="7" s="1"/>
  <c r="U367" i="7"/>
  <c r="T367" i="7"/>
  <c r="T366" i="7"/>
  <c r="U366" i="7" s="1"/>
  <c r="U365" i="7"/>
  <c r="T365" i="7"/>
  <c r="T364" i="7"/>
  <c r="U364" i="7" s="1"/>
  <c r="T363" i="7"/>
  <c r="U363" i="7" s="1"/>
  <c r="T362" i="7"/>
  <c r="U362" i="7" s="1"/>
  <c r="U361" i="7"/>
  <c r="T361" i="7"/>
  <c r="T360" i="7"/>
  <c r="U360" i="7" s="1"/>
  <c r="U359" i="7"/>
  <c r="T359" i="7"/>
  <c r="T358" i="7"/>
  <c r="U358" i="7" s="1"/>
  <c r="T357" i="7"/>
  <c r="U357" i="7" s="1"/>
  <c r="T356" i="7"/>
  <c r="U356" i="7" s="1"/>
  <c r="U355" i="7"/>
  <c r="T355" i="7"/>
  <c r="T354" i="7"/>
  <c r="U354" i="7" s="1"/>
  <c r="U353" i="7"/>
  <c r="T353" i="7"/>
  <c r="T352" i="7"/>
  <c r="U352" i="7" s="1"/>
  <c r="T351" i="7"/>
  <c r="U351" i="7" s="1"/>
  <c r="T350" i="7"/>
  <c r="U350" i="7" s="1"/>
  <c r="U349" i="7"/>
  <c r="T349" i="7"/>
  <c r="T348" i="7"/>
  <c r="U348" i="7" s="1"/>
  <c r="T347" i="7"/>
  <c r="U347" i="7" s="1"/>
  <c r="U346" i="7"/>
  <c r="T346" i="7"/>
  <c r="T345" i="7"/>
  <c r="U345" i="7" s="1"/>
  <c r="T344" i="7"/>
  <c r="U344" i="7" s="1"/>
  <c r="U343" i="7"/>
  <c r="T343" i="7"/>
  <c r="T342" i="7"/>
  <c r="U342" i="7" s="1"/>
  <c r="U341" i="7"/>
  <c r="T341" i="7"/>
  <c r="T340" i="7"/>
  <c r="U340" i="7" s="1"/>
  <c r="T339" i="7"/>
  <c r="U339" i="7" s="1"/>
  <c r="T338" i="7"/>
  <c r="U338" i="7" s="1"/>
  <c r="U337" i="7"/>
  <c r="T337" i="7"/>
  <c r="T336" i="7"/>
  <c r="U336" i="7" s="1"/>
  <c r="U335" i="7"/>
  <c r="T335" i="7"/>
  <c r="T334" i="7"/>
  <c r="U334" i="7" s="1"/>
  <c r="T333" i="7"/>
  <c r="U333" i="7" s="1"/>
  <c r="T332" i="7"/>
  <c r="U332" i="7" s="1"/>
  <c r="U331" i="7"/>
  <c r="T331" i="7"/>
  <c r="T330" i="7"/>
  <c r="U330" i="7" s="1"/>
  <c r="U329" i="7"/>
  <c r="T329" i="7"/>
  <c r="T328" i="7"/>
  <c r="U328" i="7" s="1"/>
  <c r="T327" i="7"/>
  <c r="U327" i="7" s="1"/>
  <c r="T326" i="7"/>
  <c r="U326" i="7" s="1"/>
  <c r="U325" i="7"/>
  <c r="T325" i="7"/>
  <c r="T324" i="7"/>
  <c r="U324" i="7" s="1"/>
  <c r="T323" i="7"/>
  <c r="U323" i="7" s="1"/>
  <c r="U322" i="7"/>
  <c r="T322" i="7"/>
  <c r="T321" i="7"/>
  <c r="U321" i="7" s="1"/>
  <c r="T320" i="7"/>
  <c r="U320" i="7" s="1"/>
  <c r="U319" i="7"/>
  <c r="T319" i="7"/>
  <c r="T318" i="7"/>
  <c r="U318" i="7" s="1"/>
  <c r="U317" i="7"/>
  <c r="T317" i="7"/>
  <c r="T316" i="7"/>
  <c r="U316" i="7" s="1"/>
  <c r="T315" i="7"/>
  <c r="U315" i="7" s="1"/>
  <c r="T314" i="7"/>
  <c r="U314" i="7" s="1"/>
  <c r="U313" i="7"/>
  <c r="T313" i="7"/>
  <c r="T312" i="7"/>
  <c r="U312" i="7" s="1"/>
  <c r="U311" i="7"/>
  <c r="T311" i="7"/>
  <c r="T310" i="7"/>
  <c r="U310" i="7" s="1"/>
  <c r="T309" i="7"/>
  <c r="U309" i="7" s="1"/>
  <c r="T308" i="7"/>
  <c r="U308" i="7" s="1"/>
  <c r="U307" i="7"/>
  <c r="T307" i="7"/>
  <c r="T306" i="7"/>
  <c r="U306" i="7" s="1"/>
  <c r="U305" i="7"/>
  <c r="T305" i="7"/>
  <c r="T304" i="7"/>
  <c r="U304" i="7" s="1"/>
  <c r="T303" i="7"/>
  <c r="U303" i="7" s="1"/>
  <c r="T302" i="7"/>
  <c r="U302" i="7" s="1"/>
  <c r="U301" i="7"/>
  <c r="T301" i="7"/>
  <c r="T300" i="7"/>
  <c r="U300" i="7" s="1"/>
  <c r="T299" i="7"/>
  <c r="U299" i="7" s="1"/>
  <c r="U298" i="7"/>
  <c r="T298" i="7"/>
  <c r="T297" i="7"/>
  <c r="U297" i="7" s="1"/>
  <c r="T296" i="7"/>
  <c r="U296" i="7" s="1"/>
  <c r="U295" i="7"/>
  <c r="T295" i="7"/>
  <c r="T294" i="7"/>
  <c r="U294" i="7" s="1"/>
  <c r="U293" i="7"/>
  <c r="T293" i="7"/>
  <c r="T292" i="7"/>
  <c r="U292" i="7" s="1"/>
  <c r="T291" i="7"/>
  <c r="U291" i="7" s="1"/>
  <c r="T290" i="7"/>
  <c r="U290" i="7" s="1"/>
  <c r="U289" i="7"/>
  <c r="T289" i="7"/>
  <c r="T288" i="7"/>
  <c r="U288" i="7" s="1"/>
  <c r="T287" i="7"/>
  <c r="U287" i="7" s="1"/>
  <c r="U286" i="7"/>
  <c r="T286" i="7"/>
  <c r="T285" i="7"/>
  <c r="U285" i="7" s="1"/>
  <c r="T284" i="7"/>
  <c r="U284" i="7" s="1"/>
  <c r="U283" i="7"/>
  <c r="T283" i="7"/>
  <c r="U282" i="7"/>
  <c r="T282" i="7"/>
  <c r="T281" i="7"/>
  <c r="U281" i="7" s="1"/>
  <c r="T280" i="7"/>
  <c r="U280" i="7" s="1"/>
  <c r="T279" i="7"/>
  <c r="U279" i="7" s="1"/>
  <c r="T278" i="7"/>
  <c r="U278" i="7" s="1"/>
  <c r="T277" i="7"/>
  <c r="U277" i="7" s="1"/>
  <c r="T276" i="7"/>
  <c r="U276" i="7" s="1"/>
  <c r="U275" i="7"/>
  <c r="T275" i="7"/>
  <c r="T274" i="7"/>
  <c r="U274" i="7" s="1"/>
  <c r="T273" i="7"/>
  <c r="U273" i="7" s="1"/>
  <c r="T272" i="7"/>
  <c r="U272" i="7" s="1"/>
  <c r="U271" i="7"/>
  <c r="T271" i="7"/>
  <c r="T270" i="7"/>
  <c r="U270" i="7" s="1"/>
  <c r="T269" i="7"/>
  <c r="U269" i="7" s="1"/>
  <c r="U268" i="7"/>
  <c r="T268" i="7"/>
  <c r="T267" i="7"/>
  <c r="U267" i="7" s="1"/>
  <c r="T266" i="7"/>
  <c r="U266" i="7" s="1"/>
  <c r="T265" i="7"/>
  <c r="U265" i="7" s="1"/>
  <c r="U264" i="7"/>
  <c r="T264" i="7"/>
  <c r="T263" i="7"/>
  <c r="U263" i="7" s="1"/>
  <c r="U262" i="7"/>
  <c r="T262" i="7"/>
  <c r="T261" i="7"/>
  <c r="U261" i="7" s="1"/>
  <c r="T260" i="7"/>
  <c r="U260" i="7" s="1"/>
  <c r="T259" i="7"/>
  <c r="U259" i="7" s="1"/>
  <c r="T258" i="7"/>
  <c r="U258" i="7" s="1"/>
  <c r="U257" i="7"/>
  <c r="T257" i="7"/>
  <c r="T256" i="7"/>
  <c r="U256" i="7" s="1"/>
  <c r="T255" i="7"/>
  <c r="U255" i="7" s="1"/>
  <c r="U254" i="7"/>
  <c r="T254" i="7"/>
  <c r="T253" i="7"/>
  <c r="U253" i="7" s="1"/>
  <c r="T252" i="7"/>
  <c r="U252" i="7" s="1"/>
  <c r="U251" i="7"/>
  <c r="T251" i="7"/>
  <c r="T250" i="7"/>
  <c r="U250" i="7" s="1"/>
  <c r="T249" i="7"/>
  <c r="U249" i="7" s="1"/>
  <c r="U248" i="7"/>
  <c r="T248" i="7"/>
  <c r="T247" i="7"/>
  <c r="U247" i="7" s="1"/>
  <c r="T246" i="7"/>
  <c r="U246" i="7" s="1"/>
  <c r="U245" i="7"/>
  <c r="T245" i="7"/>
  <c r="T244" i="7"/>
  <c r="U244" i="7" s="1"/>
  <c r="T243" i="7"/>
  <c r="U243" i="7" s="1"/>
  <c r="U242" i="7"/>
  <c r="T242" i="7"/>
  <c r="T241" i="7"/>
  <c r="U241" i="7" s="1"/>
  <c r="T240" i="7"/>
  <c r="U240" i="7" s="1"/>
  <c r="U239" i="7"/>
  <c r="T239" i="7"/>
  <c r="T238" i="7"/>
  <c r="U238" i="7" s="1"/>
  <c r="T237" i="7"/>
  <c r="U237" i="7" s="1"/>
  <c r="U236" i="7"/>
  <c r="T236" i="7"/>
  <c r="T235" i="7"/>
  <c r="U235" i="7" s="1"/>
  <c r="T234" i="7"/>
  <c r="U234" i="7" s="1"/>
  <c r="U233" i="7"/>
  <c r="T233" i="7"/>
  <c r="T232" i="7"/>
  <c r="U232" i="7" s="1"/>
  <c r="T231" i="7"/>
  <c r="U231" i="7" s="1"/>
  <c r="U230" i="7"/>
  <c r="T230" i="7"/>
  <c r="T229" i="7"/>
  <c r="U229" i="7" s="1"/>
  <c r="T228" i="7"/>
  <c r="U228" i="7" s="1"/>
  <c r="U227" i="7"/>
  <c r="T227" i="7"/>
  <c r="T226" i="7"/>
  <c r="U226" i="7" s="1"/>
  <c r="T225" i="7"/>
  <c r="U225" i="7" s="1"/>
  <c r="U224" i="7"/>
  <c r="T224" i="7"/>
  <c r="T223" i="7"/>
  <c r="U223" i="7" s="1"/>
  <c r="T222" i="7"/>
  <c r="U222" i="7" s="1"/>
  <c r="U221" i="7"/>
  <c r="T221" i="7"/>
  <c r="T220" i="7"/>
  <c r="U220" i="7" s="1"/>
  <c r="T219" i="7"/>
  <c r="U219" i="7" s="1"/>
  <c r="U218" i="7"/>
  <c r="T218" i="7"/>
  <c r="T217" i="7"/>
  <c r="U217" i="7" s="1"/>
  <c r="T216" i="7"/>
  <c r="U216" i="7" s="1"/>
  <c r="U215" i="7"/>
  <c r="T215" i="7"/>
  <c r="T214" i="7"/>
  <c r="U214" i="7" s="1"/>
  <c r="T213" i="7"/>
  <c r="U213" i="7" s="1"/>
  <c r="U212" i="7"/>
  <c r="T212" i="7"/>
  <c r="T211" i="7"/>
  <c r="U211" i="7" s="1"/>
  <c r="T210" i="7"/>
  <c r="U210" i="7" s="1"/>
  <c r="U209" i="7"/>
  <c r="T209" i="7"/>
  <c r="T208" i="7"/>
  <c r="U208" i="7" s="1"/>
  <c r="T207" i="7"/>
  <c r="U207" i="7" s="1"/>
  <c r="U206" i="7"/>
  <c r="T206" i="7"/>
  <c r="T205" i="7"/>
  <c r="U205" i="7" s="1"/>
  <c r="T204" i="7"/>
  <c r="U204" i="7" s="1"/>
  <c r="U203" i="7"/>
  <c r="T203" i="7"/>
  <c r="T202" i="7"/>
  <c r="U202" i="7" s="1"/>
  <c r="T201" i="7"/>
  <c r="U201" i="7" s="1"/>
  <c r="U200" i="7"/>
  <c r="T200" i="7"/>
  <c r="T199" i="7"/>
  <c r="U199" i="7" s="1"/>
  <c r="T198" i="7"/>
  <c r="U198" i="7" s="1"/>
  <c r="U197" i="7"/>
  <c r="T197" i="7"/>
  <c r="T196" i="7"/>
  <c r="U196" i="7" s="1"/>
  <c r="T195" i="7"/>
  <c r="U195" i="7" s="1"/>
  <c r="U194" i="7"/>
  <c r="T194" i="7"/>
  <c r="T193" i="7"/>
  <c r="U193" i="7" s="1"/>
  <c r="T192" i="7"/>
  <c r="U192" i="7" s="1"/>
  <c r="U191" i="7"/>
  <c r="T191" i="7"/>
  <c r="T190" i="7"/>
  <c r="U190" i="7" s="1"/>
  <c r="T189" i="7"/>
  <c r="U189" i="7" s="1"/>
  <c r="U188" i="7"/>
  <c r="T188" i="7"/>
  <c r="T187" i="7"/>
  <c r="U187" i="7" s="1"/>
  <c r="T186" i="7"/>
  <c r="U186" i="7" s="1"/>
  <c r="U185" i="7"/>
  <c r="T185" i="7"/>
  <c r="T184" i="7"/>
  <c r="U184" i="7" s="1"/>
  <c r="T183" i="7"/>
  <c r="U183" i="7" s="1"/>
  <c r="U182" i="7"/>
  <c r="T182" i="7"/>
  <c r="T181" i="7"/>
  <c r="U181" i="7" s="1"/>
  <c r="T180" i="7"/>
  <c r="U180" i="7" s="1"/>
  <c r="U179" i="7"/>
  <c r="T179" i="7"/>
  <c r="T178" i="7"/>
  <c r="U178" i="7" s="1"/>
  <c r="T177" i="7"/>
  <c r="U177" i="7" s="1"/>
  <c r="U176" i="7"/>
  <c r="T176" i="7"/>
  <c r="T175" i="7"/>
  <c r="U175" i="7" s="1"/>
  <c r="T174" i="7"/>
  <c r="U174" i="7" s="1"/>
  <c r="U173" i="7"/>
  <c r="T173" i="7"/>
  <c r="T172" i="7"/>
  <c r="U172" i="7" s="1"/>
  <c r="T171" i="7"/>
  <c r="U171" i="7" s="1"/>
  <c r="U170" i="7"/>
  <c r="T170" i="7"/>
  <c r="T169" i="7"/>
  <c r="U169" i="7" s="1"/>
  <c r="T168" i="7"/>
  <c r="U168" i="7" s="1"/>
  <c r="U167" i="7"/>
  <c r="T167" i="7"/>
  <c r="T166" i="7"/>
  <c r="U166" i="7" s="1"/>
  <c r="T165" i="7"/>
  <c r="U165" i="7" s="1"/>
  <c r="U164" i="7"/>
  <c r="T164" i="7"/>
  <c r="T163" i="7"/>
  <c r="U163" i="7" s="1"/>
  <c r="T162" i="7"/>
  <c r="U162" i="7" s="1"/>
  <c r="U161" i="7"/>
  <c r="T161" i="7"/>
  <c r="T160" i="7"/>
  <c r="U160" i="7" s="1"/>
  <c r="T159" i="7"/>
  <c r="U159" i="7" s="1"/>
  <c r="U158" i="7"/>
  <c r="T158" i="7"/>
  <c r="T157" i="7"/>
  <c r="U157" i="7" s="1"/>
  <c r="T156" i="7"/>
  <c r="U156" i="7" s="1"/>
  <c r="U155" i="7"/>
  <c r="T155" i="7"/>
  <c r="U154" i="7"/>
  <c r="T154" i="7"/>
  <c r="T153" i="7"/>
  <c r="U153" i="7" s="1"/>
  <c r="U152" i="7"/>
  <c r="T152" i="7"/>
  <c r="T151" i="7"/>
  <c r="U151" i="7" s="1"/>
  <c r="T150" i="7"/>
  <c r="U150" i="7" s="1"/>
  <c r="U149" i="7"/>
  <c r="T149" i="7"/>
  <c r="U148" i="7"/>
  <c r="T148" i="7"/>
  <c r="T147" i="7"/>
  <c r="U147" i="7" s="1"/>
  <c r="U146" i="7"/>
  <c r="T146" i="7"/>
  <c r="T145" i="7"/>
  <c r="U145" i="7" s="1"/>
  <c r="T144" i="7"/>
  <c r="U144" i="7" s="1"/>
  <c r="U143" i="7"/>
  <c r="T143" i="7"/>
  <c r="U142" i="7"/>
  <c r="T142" i="7"/>
  <c r="T141" i="7"/>
  <c r="U141" i="7" s="1"/>
  <c r="U140" i="7"/>
  <c r="T140" i="7"/>
  <c r="T139" i="7"/>
  <c r="U139" i="7" s="1"/>
  <c r="T138" i="7"/>
  <c r="U138" i="7" s="1"/>
  <c r="U137" i="7"/>
  <c r="T137" i="7"/>
  <c r="U136" i="7"/>
  <c r="T136" i="7"/>
  <c r="T135" i="7"/>
  <c r="U135" i="7" s="1"/>
  <c r="U134" i="7"/>
  <c r="T134" i="7"/>
  <c r="T133" i="7"/>
  <c r="U133" i="7" s="1"/>
  <c r="T132" i="7"/>
  <c r="U132" i="7" s="1"/>
  <c r="U131" i="7"/>
  <c r="T131" i="7"/>
  <c r="U130" i="7"/>
  <c r="T130" i="7"/>
  <c r="T129" i="7"/>
  <c r="U129" i="7" s="1"/>
  <c r="U128" i="7"/>
  <c r="T128" i="7"/>
  <c r="U127" i="7"/>
  <c r="T127" i="7"/>
  <c r="T126" i="7"/>
  <c r="U126" i="7" s="1"/>
  <c r="U125" i="7"/>
  <c r="T125" i="7"/>
  <c r="U124" i="7"/>
  <c r="T124" i="7"/>
  <c r="T123" i="7"/>
  <c r="U123" i="7" s="1"/>
  <c r="U122" i="7"/>
  <c r="T122" i="7"/>
  <c r="U121" i="7"/>
  <c r="T121" i="7"/>
  <c r="T120" i="7"/>
  <c r="U120" i="7" s="1"/>
  <c r="U119" i="7"/>
  <c r="T119" i="7"/>
  <c r="U118" i="7"/>
  <c r="T118" i="7"/>
  <c r="T117" i="7"/>
  <c r="U117" i="7" s="1"/>
  <c r="U116" i="7"/>
  <c r="T116" i="7"/>
  <c r="U115" i="7"/>
  <c r="T115" i="7"/>
  <c r="T114" i="7"/>
  <c r="U114" i="7" s="1"/>
  <c r="U113" i="7"/>
  <c r="T113" i="7"/>
  <c r="U112" i="7"/>
  <c r="T112" i="7"/>
  <c r="T111" i="7"/>
  <c r="U111" i="7" s="1"/>
  <c r="U110" i="7"/>
  <c r="T110" i="7"/>
  <c r="U109" i="7"/>
  <c r="T109" i="7"/>
  <c r="T108" i="7"/>
  <c r="U108" i="7" s="1"/>
  <c r="U107" i="7"/>
  <c r="T107" i="7"/>
  <c r="U106" i="7"/>
  <c r="T106" i="7"/>
  <c r="T105" i="7"/>
  <c r="U105" i="7" s="1"/>
  <c r="U104" i="7"/>
  <c r="T104" i="7"/>
  <c r="U103" i="7"/>
  <c r="T103" i="7"/>
  <c r="T102" i="7"/>
  <c r="U102" i="7" s="1"/>
  <c r="U101" i="7"/>
  <c r="T101" i="7"/>
  <c r="U100" i="7"/>
  <c r="T100" i="7"/>
  <c r="T99" i="7"/>
  <c r="U99" i="7" s="1"/>
  <c r="U98" i="7"/>
  <c r="T98" i="7"/>
  <c r="U97" i="7"/>
  <c r="T97" i="7"/>
  <c r="T96" i="7"/>
  <c r="U96" i="7" s="1"/>
  <c r="U95" i="7"/>
  <c r="T95" i="7"/>
  <c r="U94" i="7"/>
  <c r="T94" i="7"/>
  <c r="T93" i="7"/>
  <c r="U93" i="7" s="1"/>
  <c r="U92" i="7"/>
  <c r="T92" i="7"/>
  <c r="U91" i="7"/>
  <c r="T91" i="7"/>
  <c r="T90" i="7"/>
  <c r="U90" i="7" s="1"/>
  <c r="U89" i="7"/>
  <c r="T89" i="7"/>
  <c r="U88" i="7"/>
  <c r="T88" i="7"/>
  <c r="T87" i="7"/>
  <c r="U87" i="7" s="1"/>
  <c r="U86" i="7"/>
  <c r="T86" i="7"/>
  <c r="U85" i="7"/>
  <c r="T85" i="7"/>
  <c r="T84" i="7"/>
  <c r="U84" i="7" s="1"/>
  <c r="U83" i="7"/>
  <c r="T83" i="7"/>
  <c r="U82" i="7"/>
  <c r="T82" i="7"/>
  <c r="T81" i="7"/>
  <c r="U81" i="7" s="1"/>
  <c r="U80" i="7"/>
  <c r="T80" i="7"/>
  <c r="U79" i="7"/>
  <c r="T79" i="7"/>
  <c r="T78" i="7"/>
  <c r="U78" i="7" s="1"/>
  <c r="U77" i="7"/>
  <c r="T77" i="7"/>
  <c r="U76" i="7"/>
  <c r="T76" i="7"/>
  <c r="T75" i="7"/>
  <c r="U75" i="7" s="1"/>
  <c r="U74" i="7"/>
  <c r="T74" i="7"/>
  <c r="U73" i="7"/>
  <c r="T73" i="7"/>
  <c r="T72" i="7"/>
  <c r="U72" i="7" s="1"/>
  <c r="U71" i="7"/>
  <c r="T71" i="7"/>
  <c r="U70" i="7"/>
  <c r="T70" i="7"/>
  <c r="T69" i="7"/>
  <c r="U69" i="7" s="1"/>
  <c r="U68" i="7"/>
  <c r="T68" i="7"/>
  <c r="U67" i="7"/>
  <c r="T67" i="7"/>
  <c r="T66" i="7"/>
  <c r="U66" i="7" s="1"/>
  <c r="U65" i="7"/>
  <c r="T65" i="7"/>
  <c r="U64" i="7"/>
  <c r="T64" i="7"/>
  <c r="T63" i="7"/>
  <c r="U63" i="7" s="1"/>
  <c r="U62" i="7"/>
  <c r="T62" i="7"/>
  <c r="U61" i="7"/>
  <c r="T61" i="7"/>
  <c r="T60" i="7"/>
  <c r="U60" i="7" s="1"/>
  <c r="U59" i="7"/>
  <c r="T59" i="7"/>
  <c r="U58" i="7"/>
  <c r="T58" i="7"/>
  <c r="T57" i="7"/>
  <c r="U57" i="7" s="1"/>
  <c r="U56" i="7"/>
  <c r="T56" i="7"/>
  <c r="U55" i="7"/>
  <c r="T55" i="7"/>
  <c r="T54" i="7"/>
  <c r="U54" i="7" s="1"/>
  <c r="U53" i="7"/>
  <c r="T53" i="7"/>
  <c r="U52" i="7"/>
  <c r="T52" i="7"/>
  <c r="T51" i="7"/>
  <c r="U51" i="7" s="1"/>
  <c r="U50" i="7"/>
  <c r="T50" i="7"/>
  <c r="U49" i="7"/>
  <c r="T49" i="7"/>
  <c r="T48" i="7"/>
  <c r="U48" i="7" s="1"/>
  <c r="U47" i="7"/>
  <c r="T47" i="7"/>
  <c r="U46" i="7"/>
  <c r="T46" i="7"/>
  <c r="T45" i="7"/>
  <c r="U45" i="7" s="1"/>
  <c r="U44" i="7"/>
  <c r="T44" i="7"/>
  <c r="U43" i="7"/>
  <c r="T43" i="7"/>
  <c r="T42" i="7"/>
  <c r="U42" i="7" s="1"/>
  <c r="U41" i="7"/>
  <c r="T41" i="7"/>
  <c r="U40" i="7"/>
  <c r="T40" i="7"/>
  <c r="T39" i="7"/>
  <c r="U39" i="7" s="1"/>
  <c r="U38" i="7"/>
  <c r="T38" i="7"/>
  <c r="U37" i="7"/>
  <c r="T37" i="7"/>
  <c r="T36" i="7"/>
  <c r="U36" i="7" s="1"/>
  <c r="U35" i="7"/>
  <c r="T35" i="7"/>
  <c r="U34" i="7"/>
  <c r="T34" i="7"/>
  <c r="T33" i="7"/>
  <c r="U33" i="7" s="1"/>
  <c r="U32" i="7"/>
  <c r="T32" i="7"/>
  <c r="U31" i="7"/>
  <c r="T31" i="7"/>
  <c r="T30" i="7"/>
  <c r="U30" i="7" s="1"/>
  <c r="U29" i="7"/>
  <c r="T29" i="7"/>
  <c r="U28" i="7"/>
  <c r="T28" i="7"/>
  <c r="T27" i="7"/>
  <c r="U27" i="7" s="1"/>
  <c r="U26" i="7"/>
  <c r="T26" i="7"/>
  <c r="U25" i="7"/>
  <c r="T25" i="7"/>
  <c r="T24" i="7"/>
  <c r="U24" i="7" s="1"/>
  <c r="U23" i="7"/>
  <c r="T23" i="7"/>
  <c r="U22" i="7"/>
  <c r="T22" i="7"/>
  <c r="T21" i="7"/>
  <c r="U21" i="7" s="1"/>
  <c r="U20" i="7"/>
  <c r="T20" i="7"/>
  <c r="U19" i="7"/>
  <c r="T19" i="7"/>
  <c r="T18" i="7"/>
  <c r="U18" i="7" s="1"/>
  <c r="U17" i="7"/>
  <c r="T17" i="7"/>
  <c r="U16" i="7"/>
  <c r="T16" i="7"/>
  <c r="T15" i="7"/>
  <c r="U15" i="7" s="1"/>
  <c r="U14" i="7"/>
  <c r="T14" i="7"/>
  <c r="U13" i="7"/>
  <c r="T13" i="7"/>
  <c r="T12" i="7"/>
  <c r="U12" i="7" s="1"/>
  <c r="U11" i="7"/>
  <c r="T11" i="7"/>
  <c r="U10" i="7"/>
  <c r="T10" i="7"/>
  <c r="T9" i="7"/>
  <c r="U9" i="7" s="1"/>
  <c r="U8" i="7"/>
  <c r="T8" i="7"/>
  <c r="U7" i="7"/>
  <c r="T7" i="7"/>
  <c r="U6" i="7"/>
  <c r="T6" i="7"/>
  <c r="V1" i="7"/>
  <c r="U1" i="7"/>
  <c r="X7" i="1"/>
  <c r="W7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S19" i="1" l="1"/>
  <c r="S18" i="1"/>
  <c r="S17" i="1"/>
  <c r="S16" i="1"/>
  <c r="S15" i="1"/>
  <c r="S14" i="1"/>
  <c r="S13" i="1"/>
  <c r="S12" i="1"/>
  <c r="S11" i="1"/>
  <c r="S10" i="1"/>
  <c r="S9" i="1"/>
  <c r="S8" i="1"/>
  <c r="S7" i="1"/>
  <c r="M5" i="3" l="1"/>
  <c r="K5" i="3"/>
  <c r="J5" i="3"/>
  <c r="H5" i="3"/>
  <c r="G5" i="3"/>
  <c r="E5" i="3"/>
  <c r="D5" i="3"/>
  <c r="B5" i="3"/>
  <c r="L6" i="9" l="1"/>
  <c r="M6" i="9"/>
  <c r="L7" i="9"/>
  <c r="M7" i="9"/>
  <c r="L8" i="9"/>
  <c r="M8" i="9"/>
  <c r="L9" i="9"/>
  <c r="M9" i="9"/>
  <c r="L10" i="9"/>
  <c r="M10" i="9"/>
  <c r="L11" i="9"/>
  <c r="M11" i="9"/>
  <c r="L12" i="9"/>
  <c r="M12" i="9"/>
  <c r="L13" i="9"/>
  <c r="M13" i="9"/>
  <c r="L14" i="9"/>
  <c r="M14" i="9"/>
  <c r="L15" i="9"/>
  <c r="M15" i="9"/>
  <c r="H6" i="9"/>
  <c r="I6" i="9"/>
  <c r="H7" i="9"/>
  <c r="I7" i="9"/>
  <c r="H8" i="9"/>
  <c r="I8" i="9"/>
  <c r="H9" i="9"/>
  <c r="I9" i="9"/>
  <c r="H10" i="9"/>
  <c r="I10" i="9"/>
  <c r="H11" i="9"/>
  <c r="I11" i="9"/>
  <c r="H12" i="9"/>
  <c r="I12" i="9"/>
  <c r="H13" i="9"/>
  <c r="I13" i="9"/>
  <c r="H14" i="9"/>
  <c r="I14" i="9"/>
  <c r="H15" i="9"/>
  <c r="I15" i="9"/>
  <c r="F6" i="9"/>
  <c r="R6" i="9" s="1"/>
  <c r="G6" i="9"/>
  <c r="S6" i="9" s="1"/>
  <c r="F7" i="9"/>
  <c r="G7" i="9"/>
  <c r="S7" i="9" s="1"/>
  <c r="F8" i="9"/>
  <c r="R8" i="9" s="1"/>
  <c r="G8" i="9"/>
  <c r="S8" i="9" s="1"/>
  <c r="F9" i="9"/>
  <c r="G9" i="9"/>
  <c r="S9" i="9" s="1"/>
  <c r="F10" i="9"/>
  <c r="G10" i="9"/>
  <c r="S10" i="9" s="1"/>
  <c r="F11" i="9"/>
  <c r="G11" i="9"/>
  <c r="S11" i="9" s="1"/>
  <c r="F12" i="9"/>
  <c r="R12" i="9" s="1"/>
  <c r="G12" i="9"/>
  <c r="S12" i="9" s="1"/>
  <c r="F13" i="9"/>
  <c r="G13" i="9"/>
  <c r="S13" i="9" s="1"/>
  <c r="F14" i="9"/>
  <c r="G14" i="9"/>
  <c r="S14" i="9" s="1"/>
  <c r="F15" i="9"/>
  <c r="R15" i="9" s="1"/>
  <c r="G15" i="9"/>
  <c r="S15" i="9" s="1"/>
  <c r="B6" i="9"/>
  <c r="N6" i="9" s="1"/>
  <c r="C6" i="9"/>
  <c r="O6" i="9" s="1"/>
  <c r="B7" i="9"/>
  <c r="C7" i="9"/>
  <c r="O7" i="9" s="1"/>
  <c r="B8" i="9"/>
  <c r="C8" i="9"/>
  <c r="O8" i="9" s="1"/>
  <c r="B9" i="9"/>
  <c r="C9" i="9"/>
  <c r="O9" i="9" s="1"/>
  <c r="B10" i="9"/>
  <c r="N10" i="9" s="1"/>
  <c r="C10" i="9"/>
  <c r="O10" i="9" s="1"/>
  <c r="B11" i="9"/>
  <c r="C11" i="9"/>
  <c r="O11" i="9" s="1"/>
  <c r="B12" i="9"/>
  <c r="C12" i="9"/>
  <c r="O12" i="9" s="1"/>
  <c r="B13" i="9"/>
  <c r="C13" i="9"/>
  <c r="O13" i="9" s="1"/>
  <c r="B14" i="9"/>
  <c r="N14" i="9" s="1"/>
  <c r="C14" i="9"/>
  <c r="O14" i="9" s="1"/>
  <c r="B15" i="9"/>
  <c r="C15" i="9"/>
  <c r="O15" i="9" s="1"/>
  <c r="T15" i="9" l="1"/>
  <c r="T9" i="9"/>
  <c r="T14" i="9"/>
  <c r="T8" i="9"/>
  <c r="T13" i="9"/>
  <c r="T7" i="9"/>
  <c r="T12" i="9"/>
  <c r="T6" i="9"/>
  <c r="T11" i="9"/>
  <c r="T10" i="9"/>
  <c r="N13" i="9"/>
  <c r="N11" i="9"/>
  <c r="N9" i="9"/>
  <c r="N7" i="9"/>
  <c r="R13" i="9"/>
  <c r="R11" i="9"/>
  <c r="R9" i="9"/>
  <c r="R7" i="9"/>
  <c r="N8" i="9"/>
  <c r="R14" i="9"/>
  <c r="R10" i="9"/>
  <c r="N12" i="9"/>
  <c r="N15" i="9"/>
  <c r="E15" i="6"/>
  <c r="K15" i="9" s="1"/>
  <c r="E7" i="6"/>
  <c r="K7" i="9" s="1"/>
  <c r="E8" i="6"/>
  <c r="K8" i="9" s="1"/>
  <c r="E9" i="6"/>
  <c r="K9" i="9" s="1"/>
  <c r="E10" i="6"/>
  <c r="K10" i="9" s="1"/>
  <c r="E11" i="6"/>
  <c r="K11" i="9" s="1"/>
  <c r="E12" i="6"/>
  <c r="K12" i="9" s="1"/>
  <c r="E13" i="6"/>
  <c r="K13" i="9" s="1"/>
  <c r="E14" i="6"/>
  <c r="K14" i="9" s="1"/>
  <c r="E6" i="6"/>
  <c r="K6" i="9" s="1"/>
  <c r="D6" i="6" l="1"/>
  <c r="J6" i="9" s="1"/>
  <c r="D7" i="6"/>
  <c r="J7" i="9" s="1"/>
  <c r="D8" i="6"/>
  <c r="J8" i="9" s="1"/>
  <c r="D9" i="6"/>
  <c r="J9" i="9" s="1"/>
  <c r="D10" i="6"/>
  <c r="J10" i="9" s="1"/>
  <c r="D11" i="6"/>
  <c r="J11" i="9" s="1"/>
  <c r="D12" i="6"/>
  <c r="J12" i="9" s="1"/>
  <c r="D13" i="6"/>
  <c r="J13" i="9" s="1"/>
  <c r="D14" i="6"/>
  <c r="J14" i="9" s="1"/>
  <c r="D15" i="6"/>
  <c r="J15" i="9" s="1"/>
  <c r="B7" i="6"/>
  <c r="D7" i="9" s="1"/>
  <c r="C7" i="6"/>
  <c r="B8" i="6"/>
  <c r="C8" i="6"/>
  <c r="B9" i="6"/>
  <c r="D9" i="9" s="1"/>
  <c r="C9" i="6"/>
  <c r="B10" i="6"/>
  <c r="D10" i="9" s="1"/>
  <c r="P10" i="9" s="1"/>
  <c r="C10" i="6"/>
  <c r="B11" i="6"/>
  <c r="D11" i="9" s="1"/>
  <c r="C11" i="6"/>
  <c r="B12" i="6"/>
  <c r="C12" i="6"/>
  <c r="B13" i="6"/>
  <c r="D13" i="9" s="1"/>
  <c r="C13" i="6"/>
  <c r="B14" i="6"/>
  <c r="C14" i="6"/>
  <c r="B15" i="6"/>
  <c r="C15" i="6"/>
  <c r="C6" i="6"/>
  <c r="B6" i="6"/>
  <c r="F6" i="6" l="1"/>
  <c r="E6" i="9"/>
  <c r="Q6" i="9" s="1"/>
  <c r="G6" i="6"/>
  <c r="E15" i="9"/>
  <c r="Q15" i="9" s="1"/>
  <c r="G15" i="6"/>
  <c r="E14" i="9"/>
  <c r="Q14" i="9" s="1"/>
  <c r="G14" i="6"/>
  <c r="E13" i="9"/>
  <c r="Q13" i="9" s="1"/>
  <c r="G13" i="6"/>
  <c r="E12" i="9"/>
  <c r="Q12" i="9" s="1"/>
  <c r="G12" i="6"/>
  <c r="E11" i="9"/>
  <c r="Q11" i="9" s="1"/>
  <c r="G11" i="6"/>
  <c r="E10" i="9"/>
  <c r="Q10" i="9" s="1"/>
  <c r="G10" i="6"/>
  <c r="E9" i="9"/>
  <c r="Q9" i="9" s="1"/>
  <c r="G9" i="6"/>
  <c r="E8" i="9"/>
  <c r="Q8" i="9" s="1"/>
  <c r="G8" i="6"/>
  <c r="E7" i="9"/>
  <c r="Q7" i="9" s="1"/>
  <c r="G7" i="6"/>
  <c r="D15" i="9"/>
  <c r="P15" i="9" s="1"/>
  <c r="F15" i="6"/>
  <c r="D6" i="9"/>
  <c r="P6" i="9" s="1"/>
  <c r="P13" i="9"/>
  <c r="P9" i="9"/>
  <c r="P11" i="9"/>
  <c r="P7" i="9"/>
  <c r="F14" i="6"/>
  <c r="D14" i="9"/>
  <c r="P14" i="9" s="1"/>
  <c r="F12" i="6"/>
  <c r="D12" i="9"/>
  <c r="P12" i="9" s="1"/>
  <c r="F8" i="6"/>
  <c r="D8" i="9"/>
  <c r="P8" i="9" s="1"/>
  <c r="F13" i="6"/>
  <c r="F11" i="6"/>
  <c r="F9" i="6"/>
  <c r="F7" i="6"/>
  <c r="F10" i="6"/>
</calcChain>
</file>

<file path=xl/sharedStrings.xml><?xml version="1.0" encoding="utf-8"?>
<sst xmlns="http://schemas.openxmlformats.org/spreadsheetml/2006/main" count="1057" uniqueCount="214">
  <si>
    <t>Table 1</t>
  </si>
  <si>
    <r>
      <rPr>
        <vertAlign val="superscript"/>
        <sz val="11"/>
        <color theme="1"/>
        <rFont val="Calibri"/>
        <family val="2"/>
      </rPr>
      <t>234</t>
    </r>
    <r>
      <rPr>
        <sz val="11"/>
        <color theme="1"/>
        <rFont val="Calibri"/>
        <family val="2"/>
      </rPr>
      <t xml:space="preserve">Th activities by epoch and cruise average </t>
    </r>
    <r>
      <rPr>
        <vertAlign val="superscript"/>
        <sz val="11"/>
        <color theme="1"/>
        <rFont val="Calibri"/>
        <family val="2"/>
      </rPr>
      <t>234</t>
    </r>
    <r>
      <rPr>
        <sz val="11"/>
        <color theme="1"/>
        <rFont val="Calibri"/>
        <family val="2"/>
      </rPr>
      <t>Th fluxes binned by depth</t>
    </r>
  </si>
  <si>
    <r>
      <rPr>
        <vertAlign val="superscript"/>
        <sz val="11"/>
        <rFont val="Calibri"/>
        <family val="2"/>
      </rPr>
      <t>234</t>
    </r>
    <r>
      <rPr>
        <sz val="11"/>
        <rFont val="Calibri"/>
        <family val="2"/>
      </rPr>
      <t>Th activity (dpm L</t>
    </r>
    <r>
      <rPr>
        <vertAlign val="superscript"/>
        <sz val="11"/>
        <rFont val="Calibri"/>
        <family val="2"/>
      </rPr>
      <t>-1</t>
    </r>
    <r>
      <rPr>
        <sz val="11"/>
        <rFont val="Calibri"/>
        <family val="2"/>
      </rPr>
      <t>)</t>
    </r>
  </si>
  <si>
    <r>
      <rPr>
        <vertAlign val="superscript"/>
        <sz val="11"/>
        <color theme="1"/>
        <rFont val="Calibri"/>
        <family val="2"/>
      </rPr>
      <t>238</t>
    </r>
    <r>
      <rPr>
        <sz val="11"/>
        <color theme="1"/>
        <rFont val="Calibri"/>
        <family val="2"/>
      </rPr>
      <t>U activity (dpm L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>)</t>
    </r>
  </si>
  <si>
    <r>
      <rPr>
        <vertAlign val="superscript"/>
        <sz val="11"/>
        <rFont val="Calibri"/>
        <family val="2"/>
      </rPr>
      <t>234</t>
    </r>
    <r>
      <rPr>
        <sz val="11"/>
        <rFont val="Calibri"/>
        <family val="2"/>
      </rPr>
      <t>Th flux (dpm m</t>
    </r>
    <r>
      <rPr>
        <vertAlign val="superscript"/>
        <sz val="11"/>
        <rFont val="Calibri"/>
        <family val="2"/>
      </rPr>
      <t>-2</t>
    </r>
    <r>
      <rPr>
        <sz val="11"/>
        <rFont val="Calibri"/>
        <family val="2"/>
      </rPr>
      <t xml:space="preserve"> d</t>
    </r>
    <r>
      <rPr>
        <vertAlign val="superscript"/>
        <sz val="11"/>
        <rFont val="Calibri"/>
        <family val="2"/>
      </rPr>
      <t>-1</t>
    </r>
    <r>
      <rPr>
        <sz val="11"/>
        <rFont val="Calibri"/>
        <family val="2"/>
      </rPr>
      <t>)</t>
    </r>
  </si>
  <si>
    <t>EPOCH 1</t>
  </si>
  <si>
    <t>EPOCH 2</t>
  </si>
  <si>
    <t>EPOCH 3</t>
  </si>
  <si>
    <t>CRUISE</t>
  </si>
  <si>
    <t>CRUISE SS</t>
  </si>
  <si>
    <t xml:space="preserve">CRUISE NSS </t>
  </si>
  <si>
    <t>Avg. Depth</t>
  </si>
  <si>
    <t xml:space="preserve">Sample depth  </t>
  </si>
  <si>
    <r>
      <rPr>
        <vertAlign val="superscript"/>
        <sz val="11"/>
        <rFont val="Calibri"/>
        <family val="2"/>
      </rPr>
      <t>234</t>
    </r>
    <r>
      <rPr>
        <sz val="11"/>
        <rFont val="Calibri"/>
        <family val="2"/>
      </rPr>
      <t xml:space="preserve">Th </t>
    </r>
  </si>
  <si>
    <r>
      <rPr>
        <vertAlign val="superscript"/>
        <sz val="11"/>
        <rFont val="Calibri"/>
        <family val="2"/>
      </rPr>
      <t>238</t>
    </r>
    <r>
      <rPr>
        <sz val="11"/>
        <rFont val="Calibri"/>
        <family val="2"/>
      </rPr>
      <t xml:space="preserve">U </t>
    </r>
  </si>
  <si>
    <r>
      <rPr>
        <vertAlign val="superscript"/>
        <sz val="11"/>
        <rFont val="Calibri"/>
        <family val="2"/>
      </rPr>
      <t>234</t>
    </r>
    <r>
      <rPr>
        <sz val="11"/>
        <rFont val="Calibri"/>
        <family val="2"/>
      </rPr>
      <t>Th flux</t>
    </r>
    <r>
      <rPr>
        <vertAlign val="superscript"/>
        <sz val="11"/>
        <rFont val="Calibri"/>
        <family val="2"/>
      </rPr>
      <t>d</t>
    </r>
  </si>
  <si>
    <r>
      <rPr>
        <vertAlign val="superscript"/>
        <sz val="11"/>
        <rFont val="Calibri"/>
        <family val="2"/>
      </rPr>
      <t>234</t>
    </r>
    <r>
      <rPr>
        <sz val="11"/>
        <rFont val="Calibri"/>
        <family val="2"/>
      </rPr>
      <t>Th flux</t>
    </r>
    <r>
      <rPr>
        <vertAlign val="superscript"/>
        <sz val="11"/>
        <rFont val="Calibri"/>
        <family val="2"/>
      </rPr>
      <t>e</t>
    </r>
  </si>
  <si>
    <r>
      <t>(m)</t>
    </r>
    <r>
      <rPr>
        <vertAlign val="superscript"/>
        <sz val="11"/>
        <rFont val="Calibri"/>
        <family val="2"/>
      </rPr>
      <t>a</t>
    </r>
  </si>
  <si>
    <r>
      <t xml:space="preserve"> range (m)</t>
    </r>
    <r>
      <rPr>
        <vertAlign val="superscript"/>
        <sz val="11"/>
        <rFont val="Calibri"/>
        <family val="2"/>
      </rPr>
      <t>b</t>
    </r>
  </si>
  <si>
    <t>average</t>
  </si>
  <si>
    <r>
      <t>st dev</t>
    </r>
    <r>
      <rPr>
        <vertAlign val="superscript"/>
        <sz val="11"/>
        <rFont val="Calibri"/>
        <family val="2"/>
      </rPr>
      <t>c</t>
    </r>
  </si>
  <si>
    <t>n=</t>
  </si>
  <si>
    <t xml:space="preserve">average </t>
  </si>
  <si>
    <t>uncert</t>
  </si>
  <si>
    <t>4-9</t>
  </si>
  <si>
    <t>15-24</t>
  </si>
  <si>
    <t>25-42</t>
  </si>
  <si>
    <t>45-56</t>
  </si>
  <si>
    <t>59-69</t>
  </si>
  <si>
    <t>75-83</t>
  </si>
  <si>
    <t>94-109</t>
  </si>
  <si>
    <t>110-130</t>
  </si>
  <si>
    <t>145-151</t>
  </si>
  <si>
    <t>194-222</t>
  </si>
  <si>
    <t>249-314</t>
  </si>
  <si>
    <t>328-334</t>
  </si>
  <si>
    <t>498-503</t>
  </si>
  <si>
    <t>Notes:</t>
  </si>
  <si>
    <r>
      <t>a</t>
    </r>
    <r>
      <rPr>
        <sz val="11"/>
        <rFont val="Calibri"/>
        <family val="2"/>
      </rPr>
      <t>Average sample depth in the bin</t>
    </r>
  </si>
  <si>
    <r>
      <t>b</t>
    </r>
    <r>
      <rPr>
        <sz val="11"/>
        <rFont val="Calibri"/>
        <family val="2"/>
      </rPr>
      <t>Depth range of the samples included in the bin</t>
    </r>
  </si>
  <si>
    <r>
      <t>c</t>
    </r>
    <r>
      <rPr>
        <sz val="11"/>
        <color rgb="FF000000"/>
        <rFont val="Calibri"/>
        <family val="2"/>
        <scheme val="minor"/>
      </rPr>
      <t>Standard deviation</t>
    </r>
  </si>
  <si>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Cruise average steady-state (SS) </t>
    </r>
    <r>
      <rPr>
        <vertAlign val="superscript"/>
        <sz val="11"/>
        <color theme="1"/>
        <rFont val="Calibri"/>
        <family val="2"/>
        <scheme val="minor"/>
      </rPr>
      <t>234</t>
    </r>
    <r>
      <rPr>
        <sz val="11"/>
        <color theme="1"/>
        <rFont val="Calibri"/>
        <family val="2"/>
        <scheme val="minor"/>
      </rPr>
      <t xml:space="preserve">Th fluxes were calculated from all the SS </t>
    </r>
    <r>
      <rPr>
        <vertAlign val="superscript"/>
        <sz val="11"/>
        <color theme="1"/>
        <rFont val="Calibri (Body)"/>
      </rPr>
      <t>234</t>
    </r>
    <r>
      <rPr>
        <sz val="11"/>
        <color theme="1"/>
        <rFont val="Calibri"/>
        <family val="2"/>
        <scheme val="minor"/>
      </rPr>
      <t xml:space="preserve">Th fluxes computed for each station. The uncertainty corresponds to the standard deviation across all the SS </t>
    </r>
    <r>
      <rPr>
        <vertAlign val="superscript"/>
        <sz val="11"/>
        <color theme="1"/>
        <rFont val="Calibri (Body)"/>
      </rPr>
      <t>234</t>
    </r>
    <r>
      <rPr>
        <sz val="11"/>
        <color theme="1"/>
        <rFont val="Calibri"/>
        <family val="2"/>
        <scheme val="minor"/>
      </rPr>
      <t>Th flux estimates</t>
    </r>
  </si>
  <si>
    <t>eNon-steady-state (NSS) 234Th fluxes were calculated from the depth-averaged 234Th activities of epochs 1 and 3 following Equation 4. The uncertainty was calculated by propagating the standard deviations of 234Th activity from epochs 1 and 3 through Equation 4 (see section 4c)</t>
  </si>
  <si>
    <t>Table 2</t>
  </si>
  <si>
    <r>
      <t>POC/</t>
    </r>
    <r>
      <rPr>
        <vertAlign val="superscript"/>
        <sz val="11"/>
        <color theme="1"/>
        <rFont val="Calibri"/>
        <family val="2"/>
      </rPr>
      <t>234</t>
    </r>
    <r>
      <rPr>
        <sz val="11"/>
        <color theme="1"/>
        <rFont val="Calibri"/>
        <family val="2"/>
      </rPr>
      <t>Th ratios - cruise averages</t>
    </r>
  </si>
  <si>
    <r>
      <t>POC/</t>
    </r>
    <r>
      <rPr>
        <vertAlign val="superscript"/>
        <sz val="11"/>
        <color theme="1"/>
        <rFont val="Calibri"/>
        <family val="2"/>
      </rPr>
      <t>234</t>
    </r>
    <r>
      <rPr>
        <sz val="11"/>
        <color theme="1"/>
        <rFont val="Calibri"/>
        <family val="2"/>
      </rPr>
      <t>Th (μmol dpm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>)</t>
    </r>
  </si>
  <si>
    <r>
      <t>1-5 μm</t>
    </r>
    <r>
      <rPr>
        <vertAlign val="superscript"/>
        <sz val="11"/>
        <color theme="1"/>
        <rFont val="Calibri"/>
        <family val="2"/>
      </rPr>
      <t>a</t>
    </r>
  </si>
  <si>
    <r>
      <t>5-51 μm</t>
    </r>
    <r>
      <rPr>
        <vertAlign val="superscript"/>
        <sz val="11"/>
        <rFont val="Calibri"/>
        <family val="2"/>
      </rPr>
      <t>a</t>
    </r>
  </si>
  <si>
    <r>
      <t>&gt;51 μm</t>
    </r>
    <r>
      <rPr>
        <vertAlign val="superscript"/>
        <sz val="11"/>
        <color theme="1"/>
        <rFont val="Calibri"/>
        <family val="2"/>
      </rPr>
      <t>a,b</t>
    </r>
  </si>
  <si>
    <t>Depth (m)</t>
  </si>
  <si>
    <t>st dev</t>
  </si>
  <si>
    <t>aPOC/234Th (C/Th) ratios for size-fractionated particles were measured at 50, 100, 150, 200, 330 and 500 m. Average C/Th at these depths were obtained from the arithmetic mean (± standard deviation). Values shown in italics and smaller font size are linearly interpolated (see section 4d)</t>
  </si>
  <si>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>Seven &gt;51 μm samples (out of 70) were identified as outliers due to swimmer contamination (see details in section 3b) and, therefore, are excluded from the average</t>
    </r>
  </si>
  <si>
    <t>Table 3</t>
  </si>
  <si>
    <t>POC fluxes - cruise averages</t>
  </si>
  <si>
    <r>
      <t>POC flux-SS (mmol C m</t>
    </r>
    <r>
      <rPr>
        <vertAlign val="superscript"/>
        <sz val="11"/>
        <color theme="1"/>
        <rFont val="Calibri"/>
        <family val="2"/>
      </rPr>
      <t xml:space="preserve">-2 </t>
    </r>
    <r>
      <rPr>
        <sz val="11"/>
        <color theme="1"/>
        <rFont val="Calibri"/>
        <family val="2"/>
      </rPr>
      <t>d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>)</t>
    </r>
    <r>
      <rPr>
        <vertAlign val="superscript"/>
        <sz val="11"/>
        <color theme="1"/>
        <rFont val="Calibri"/>
        <family val="2"/>
      </rPr>
      <t>a</t>
    </r>
  </si>
  <si>
    <r>
      <t>POC flux-NSS (mmol C m</t>
    </r>
    <r>
      <rPr>
        <vertAlign val="superscript"/>
        <sz val="11"/>
        <color theme="1"/>
        <rFont val="Calibri"/>
        <family val="2"/>
      </rPr>
      <t>-2</t>
    </r>
    <r>
      <rPr>
        <sz val="11"/>
        <color theme="1"/>
        <rFont val="Calibri"/>
        <family val="2"/>
      </rPr>
      <t xml:space="preserve"> d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>)</t>
    </r>
    <r>
      <rPr>
        <vertAlign val="superscript"/>
        <sz val="11"/>
        <color theme="1"/>
        <rFont val="Calibri"/>
        <family val="2"/>
      </rPr>
      <t>b</t>
    </r>
  </si>
  <si>
    <r>
      <t>Average POC flux (mmol C m</t>
    </r>
    <r>
      <rPr>
        <vertAlign val="superscript"/>
        <sz val="11"/>
        <color theme="1"/>
        <rFont val="Calibri (Body)"/>
      </rPr>
      <t>-2</t>
    </r>
    <r>
      <rPr>
        <sz val="11"/>
        <color theme="1"/>
        <rFont val="Calibri"/>
        <family val="2"/>
        <scheme val="minor"/>
      </rPr>
      <t xml:space="preserve"> d</t>
    </r>
    <r>
      <rPr>
        <vertAlign val="superscript"/>
        <sz val="11"/>
        <color theme="1"/>
        <rFont val="Calibri (Body)"/>
      </rPr>
      <t>-1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 (Body)"/>
      </rPr>
      <t>c</t>
    </r>
  </si>
  <si>
    <t>5-51 μm</t>
  </si>
  <si>
    <r>
      <t>a</t>
    </r>
    <r>
      <rPr>
        <sz val="11"/>
        <color theme="1"/>
        <rFont val="Calibri"/>
        <family val="2"/>
      </rPr>
      <t xml:space="preserve">POC fluxes were calculated by multiplying the C/Th ratio in 5-51 μm particles (Table 2) by the cruise average steady-state </t>
    </r>
    <r>
      <rPr>
        <vertAlign val="superscript"/>
        <sz val="11"/>
        <color theme="1"/>
        <rFont val="Calibri"/>
        <family val="2"/>
      </rPr>
      <t>234</t>
    </r>
    <r>
      <rPr>
        <sz val="11"/>
        <color theme="1"/>
        <rFont val="Calibri"/>
        <family val="2"/>
      </rPr>
      <t xml:space="preserve">Th flux (Table 1) at a given depth </t>
    </r>
  </si>
  <si>
    <r>
      <t>b</t>
    </r>
    <r>
      <rPr>
        <sz val="11"/>
        <color theme="1"/>
        <rFont val="Calibri"/>
        <family val="2"/>
      </rPr>
      <t xml:space="preserve">POC fluxes were calculated by multiplying the C/Th ratio in 5-51 μm particles (Table 2) by the non-steady-state </t>
    </r>
    <r>
      <rPr>
        <vertAlign val="superscript"/>
        <sz val="11"/>
        <color theme="1"/>
        <rFont val="Calibri"/>
        <family val="2"/>
      </rPr>
      <t>234</t>
    </r>
    <r>
      <rPr>
        <sz val="11"/>
        <color theme="1"/>
        <rFont val="Calibri"/>
        <family val="2"/>
      </rPr>
      <t xml:space="preserve">Th flux (Table 1) at a given depth </t>
    </r>
  </si>
  <si>
    <r>
      <rPr>
        <vertAlign val="superscript"/>
        <sz val="11"/>
        <color theme="1"/>
        <rFont val="Calibri"/>
        <family val="2"/>
      </rPr>
      <t>a,b</t>
    </r>
    <r>
      <rPr>
        <sz val="11"/>
        <color theme="1"/>
        <rFont val="Calibri"/>
        <family val="2"/>
      </rPr>
      <t xml:space="preserve">POC flux uncertainties were calculated by propagating the C/Th ratio and </t>
    </r>
    <r>
      <rPr>
        <vertAlign val="superscript"/>
        <sz val="11"/>
        <color theme="1"/>
        <rFont val="Calibri"/>
        <family val="2"/>
      </rPr>
      <t>234</t>
    </r>
    <r>
      <rPr>
        <sz val="11"/>
        <color theme="1"/>
        <rFont val="Calibri"/>
        <family val="2"/>
      </rPr>
      <t>Th flux uncertainties</t>
    </r>
  </si>
  <si>
    <r>
      <t>c</t>
    </r>
    <r>
      <rPr>
        <sz val="11"/>
        <color theme="1"/>
        <rFont val="Calibri"/>
        <family val="2"/>
      </rPr>
      <t>Average POC flux was calculated averaging the SS and NSS POC flux estimates using the C/Th ratio in 5-51 μm particles. Uncertainties were calculated by propagating the uncertainties of the SS and NSS POC flux estimates</t>
    </r>
  </si>
  <si>
    <t>Table 4</t>
  </si>
  <si>
    <t>Comparison of POC export fluxes at OSP</t>
  </si>
  <si>
    <t>50 m</t>
  </si>
  <si>
    <t>100 m</t>
  </si>
  <si>
    <t>200 m</t>
  </si>
  <si>
    <t>500 m</t>
  </si>
  <si>
    <t>Comments</t>
  </si>
  <si>
    <r>
      <rPr>
        <b/>
        <vertAlign val="superscript"/>
        <sz val="11"/>
        <color theme="1"/>
        <rFont val="Calibri"/>
        <family val="2"/>
      </rPr>
      <t>234</t>
    </r>
    <r>
      <rPr>
        <b/>
        <sz val="11"/>
        <color theme="1"/>
        <rFont val="Calibri"/>
        <family val="2"/>
      </rPr>
      <t>Th based</t>
    </r>
  </si>
  <si>
    <r>
      <t>(mmol C m</t>
    </r>
    <r>
      <rPr>
        <vertAlign val="superscript"/>
        <sz val="11"/>
        <color theme="1"/>
        <rFont val="Calibri"/>
        <family val="2"/>
      </rPr>
      <t>-2</t>
    </r>
    <r>
      <rPr>
        <sz val="11"/>
        <color theme="1"/>
        <rFont val="Calibri"/>
        <family val="2"/>
      </rPr>
      <t xml:space="preserve"> d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>)</t>
    </r>
  </si>
  <si>
    <t>This study</t>
  </si>
  <si>
    <t xml:space="preserve"> ±</t>
  </si>
  <si>
    <t>Aug/Sept EXPORTS cruise, avg. 61 profiles; &gt;5-51 μm C/Th (Table 3)</t>
  </si>
  <si>
    <t>Charette et al. (1999)</t>
  </si>
  <si>
    <t>*8.1</t>
  </si>
  <si>
    <t>---</t>
  </si>
  <si>
    <t>August, single profile; value for 40 m;  &gt;1 μm C/Th</t>
  </si>
  <si>
    <t>Kawakami et al. (2010)</t>
  </si>
  <si>
    <t>October, single profile;  &gt;0.7 μm C/Th</t>
  </si>
  <si>
    <t>Mackinson et al. (2015)</t>
  </si>
  <si>
    <t>June 2011 and 2012; recalculated here from 3 profiles; &gt;53 μm C/Th</t>
  </si>
  <si>
    <t>Trap based</t>
  </si>
  <si>
    <t>Wong et al. (2002)</t>
  </si>
  <si>
    <t>July-Sept avg; Wong et al. and includes unpubished data; 7 deployments</t>
  </si>
  <si>
    <t>Timothy et al. (2013)</t>
  </si>
  <si>
    <t>nd</t>
  </si>
  <si>
    <t>Deep moored time-series traps - annual average</t>
  </si>
  <si>
    <t>Estapa et al. (2020)</t>
  </si>
  <si>
    <t>Aug/Sept EXPORTS cruise, avg. 3 casts</t>
  </si>
  <si>
    <t>June 2011 and 2012, avg. 2 deployments, no poison</t>
  </si>
  <si>
    <t>*POC flux estimated at 40 m considered base of Ez</t>
  </si>
  <si>
    <t>Table S1</t>
  </si>
  <si>
    <t>Thorium-234 results and POC fluxes for each cast</t>
  </si>
  <si>
    <t>1D SS model</t>
  </si>
  <si>
    <r>
      <t>Internal</t>
    </r>
    <r>
      <rPr>
        <vertAlign val="superscript"/>
        <sz val="11"/>
        <rFont val="Calibri"/>
        <family val="2"/>
      </rPr>
      <t>a</t>
    </r>
  </si>
  <si>
    <t>bottle</t>
  </si>
  <si>
    <t>Station</t>
  </si>
  <si>
    <t>CTD</t>
  </si>
  <si>
    <t>collection</t>
  </si>
  <si>
    <r>
      <rPr>
        <vertAlign val="superscript"/>
        <sz val="11"/>
        <color theme="1"/>
        <rFont val="Calibri"/>
        <family val="2"/>
      </rPr>
      <t>238</t>
    </r>
    <r>
      <rPr>
        <sz val="11"/>
        <color theme="1"/>
        <rFont val="Calibri"/>
        <family val="2"/>
      </rPr>
      <t>U</t>
    </r>
  </si>
  <si>
    <r>
      <rPr>
        <vertAlign val="superscript"/>
        <sz val="11"/>
        <rFont val="Calibri"/>
        <family val="2"/>
      </rPr>
      <t>234</t>
    </r>
    <r>
      <rPr>
        <sz val="11"/>
        <rFont val="Calibri"/>
        <family val="2"/>
      </rPr>
      <t>Th</t>
    </r>
  </si>
  <si>
    <r>
      <rPr>
        <vertAlign val="superscript"/>
        <sz val="11"/>
        <rFont val="Calibri"/>
        <family val="2"/>
      </rPr>
      <t>234</t>
    </r>
    <r>
      <rPr>
        <sz val="11"/>
        <rFont val="Calibri"/>
        <family val="2"/>
      </rPr>
      <t>Th flux @z</t>
    </r>
    <r>
      <rPr>
        <vertAlign val="superscript"/>
        <sz val="11"/>
        <rFont val="Calibri"/>
        <family val="2"/>
      </rPr>
      <t>b</t>
    </r>
  </si>
  <si>
    <r>
      <t>POC/</t>
    </r>
    <r>
      <rPr>
        <vertAlign val="superscript"/>
        <sz val="11"/>
        <color theme="1"/>
        <rFont val="Calibri"/>
        <family val="2"/>
        <scheme val="minor"/>
      </rPr>
      <t>234</t>
    </r>
    <r>
      <rPr>
        <sz val="11"/>
        <color theme="1"/>
        <rFont val="Calibri"/>
        <family val="2"/>
        <scheme val="minor"/>
      </rPr>
      <t>Th</t>
    </r>
    <r>
      <rPr>
        <vertAlign val="superscript"/>
        <sz val="11"/>
        <color theme="1"/>
        <rFont val="Calibri"/>
        <family val="2"/>
        <scheme val="minor"/>
      </rPr>
      <t>c</t>
    </r>
  </si>
  <si>
    <t>SR#</t>
  </si>
  <si>
    <t xml:space="preserve">depth </t>
  </si>
  <si>
    <t>#</t>
  </si>
  <si>
    <t>CTD#</t>
  </si>
  <si>
    <t>Epoch</t>
  </si>
  <si>
    <t>Latitude</t>
  </si>
  <si>
    <t>Longitude</t>
  </si>
  <si>
    <t>Niskin</t>
  </si>
  <si>
    <t>date</t>
  </si>
  <si>
    <t>time</t>
  </si>
  <si>
    <r>
      <t>dpm L</t>
    </r>
    <r>
      <rPr>
        <vertAlign val="superscript"/>
        <sz val="11"/>
        <color theme="1"/>
        <rFont val="Calibri"/>
        <family val="2"/>
      </rPr>
      <t>-1</t>
    </r>
  </si>
  <si>
    <r>
      <t>dpm L</t>
    </r>
    <r>
      <rPr>
        <vertAlign val="superscript"/>
        <sz val="11"/>
        <rFont val="Calibri"/>
        <family val="2"/>
      </rPr>
      <t>-1</t>
    </r>
  </si>
  <si>
    <r>
      <t>dpm m</t>
    </r>
    <r>
      <rPr>
        <vertAlign val="superscript"/>
        <sz val="11"/>
        <color theme="1"/>
        <rFont val="Calibri"/>
        <family val="2"/>
      </rPr>
      <t>-2</t>
    </r>
    <r>
      <rPr>
        <sz val="11"/>
        <color theme="1"/>
        <rFont val="Calibri"/>
        <family val="2"/>
      </rPr>
      <t xml:space="preserve"> d</t>
    </r>
    <r>
      <rPr>
        <vertAlign val="superscript"/>
        <sz val="11"/>
        <color theme="1"/>
        <rFont val="Calibri"/>
        <family val="2"/>
      </rPr>
      <t>-1</t>
    </r>
  </si>
  <si>
    <r>
      <t>μmol dpm</t>
    </r>
    <r>
      <rPr>
        <vertAlign val="superscript"/>
        <sz val="11"/>
        <color theme="1"/>
        <rFont val="Calibri (Body)"/>
      </rPr>
      <t>-1</t>
    </r>
  </si>
  <si>
    <r>
      <t>mmol C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 xml:space="preserve"> d</t>
    </r>
    <r>
      <rPr>
        <vertAlign val="superscript"/>
        <sz val="11"/>
        <color theme="1"/>
        <rFont val="Calibri"/>
        <family val="2"/>
        <scheme val="minor"/>
      </rPr>
      <t>-1</t>
    </r>
  </si>
  <si>
    <t>SS1</t>
  </si>
  <si>
    <t>SS2</t>
  </si>
  <si>
    <t>SS3</t>
  </si>
  <si>
    <t>SS4</t>
  </si>
  <si>
    <t>SS5</t>
  </si>
  <si>
    <t>66 avg</t>
  </si>
  <si>
    <t>SS6</t>
  </si>
  <si>
    <t>SS7</t>
  </si>
  <si>
    <t>SS13</t>
  </si>
  <si>
    <t>SS12</t>
  </si>
  <si>
    <t>SS14</t>
  </si>
  <si>
    <t>SS15</t>
  </si>
  <si>
    <t>SS16</t>
  </si>
  <si>
    <t>SS17</t>
  </si>
  <si>
    <t>SS10</t>
  </si>
  <si>
    <t>SS11</t>
  </si>
  <si>
    <t>311 avg</t>
  </si>
  <si>
    <t>SS9</t>
  </si>
  <si>
    <t>SS8</t>
  </si>
  <si>
    <t>LS3</t>
  </si>
  <si>
    <t>LS7</t>
  </si>
  <si>
    <t>LS8</t>
  </si>
  <si>
    <t>LS9</t>
  </si>
  <si>
    <t>LS10</t>
  </si>
  <si>
    <t>LS2</t>
  </si>
  <si>
    <t>497 avg</t>
  </si>
  <si>
    <t>LS4</t>
  </si>
  <si>
    <t>LS5</t>
  </si>
  <si>
    <t>LS6</t>
  </si>
  <si>
    <t>LS11</t>
  </si>
  <si>
    <t>LS12</t>
  </si>
  <si>
    <t>LS13</t>
  </si>
  <si>
    <t>LS14</t>
  </si>
  <si>
    <t>LS15</t>
  </si>
  <si>
    <t>LS16</t>
  </si>
  <si>
    <t>LS17</t>
  </si>
  <si>
    <t>LS18</t>
  </si>
  <si>
    <t>LS19</t>
  </si>
  <si>
    <t>840 avg</t>
  </si>
  <si>
    <t>842 avg</t>
  </si>
  <si>
    <t>846 avg</t>
  </si>
  <si>
    <t>848 avg</t>
  </si>
  <si>
    <t>850 avg</t>
  </si>
  <si>
    <t>853 avg</t>
  </si>
  <si>
    <t>854 avg</t>
  </si>
  <si>
    <t>LS1</t>
  </si>
  <si>
    <r>
      <rPr>
        <vertAlign val="superscript"/>
        <sz val="11"/>
        <color rgb="FF000000"/>
        <rFont val="Calibri (Body)"/>
      </rPr>
      <t>a</t>
    </r>
    <r>
      <rPr>
        <sz val="11"/>
        <color rgb="FF000000"/>
        <rFont val="Calibri (Body)"/>
      </rPr>
      <t>Internal sample identification code</t>
    </r>
  </si>
  <si>
    <r>
      <rPr>
        <vertAlign val="superscript"/>
        <sz val="11"/>
        <color rgb="FF000000"/>
        <rFont val="Calibri (Body)"/>
      </rPr>
      <t>b</t>
    </r>
    <r>
      <rPr>
        <sz val="11"/>
        <color rgb="FF000000"/>
        <rFont val="Calibri (Body)"/>
      </rPr>
      <t xml:space="preserve">Steady-state (SS) </t>
    </r>
    <r>
      <rPr>
        <vertAlign val="superscript"/>
        <sz val="11"/>
        <color rgb="FF000000"/>
        <rFont val="Calibri (Body)"/>
      </rPr>
      <t>234</t>
    </r>
    <r>
      <rPr>
        <sz val="11"/>
        <color rgb="FF000000"/>
        <rFont val="Calibri (Body)"/>
      </rPr>
      <t xml:space="preserve">Th fluxes for all stations integrated down to each sampling depth ("bottle depth" column) </t>
    </r>
  </si>
  <si>
    <r>
      <rPr>
        <vertAlign val="superscript"/>
        <sz val="11"/>
        <color theme="1"/>
        <rFont val="Calibri"/>
        <family val="2"/>
      </rPr>
      <t>c</t>
    </r>
    <r>
      <rPr>
        <sz val="11"/>
        <color theme="1"/>
        <rFont val="Calibri"/>
        <family val="2"/>
      </rPr>
      <t xml:space="preserve">Average POC/234Th (C/Th) ratio from 5-51 μm in situ pump particle data measured at 50, 100, 150, 200, 330 and 500 m (Table 2) combining all casts (n = 12). All other values were linearly interpolated. Shallowest pump value at 50 m was used for the 0-50 m layer </t>
    </r>
  </si>
  <si>
    <r>
      <t>d</t>
    </r>
    <r>
      <rPr>
        <sz val="11"/>
        <color theme="1"/>
        <rFont val="Calibri"/>
        <family val="2"/>
      </rPr>
      <t xml:space="preserve">POC fluxes were calculated by multiplying the average C/Th ratio in 5-51 μm particles by the SS </t>
    </r>
    <r>
      <rPr>
        <vertAlign val="superscript"/>
        <sz val="11"/>
        <color theme="1"/>
        <rFont val="Calibri"/>
        <family val="2"/>
      </rPr>
      <t>234</t>
    </r>
    <r>
      <rPr>
        <sz val="11"/>
        <color theme="1"/>
        <rFont val="Calibri"/>
        <family val="2"/>
      </rPr>
      <t xml:space="preserve">Th flux at each sampling depth </t>
    </r>
  </si>
  <si>
    <t>Table S2</t>
  </si>
  <si>
    <t>Comparison of two methods to obtain mean C/Th ratios</t>
  </si>
  <si>
    <t>Small (1-5 μm)</t>
  </si>
  <si>
    <t>Mid (5-51 μm)</t>
  </si>
  <si>
    <r>
      <t>Large (&gt;51 μm)</t>
    </r>
    <r>
      <rPr>
        <vertAlign val="superscript"/>
        <sz val="11"/>
        <color theme="1"/>
        <rFont val="Calibri (Body)"/>
      </rPr>
      <t>c</t>
    </r>
  </si>
  <si>
    <r>
      <t>slope</t>
    </r>
    <r>
      <rPr>
        <vertAlign val="superscript"/>
        <sz val="11"/>
        <color theme="1"/>
        <rFont val="Calibri"/>
        <family val="2"/>
      </rPr>
      <t>a</t>
    </r>
  </si>
  <si>
    <t>arithmetic mean</t>
  </si>
  <si>
    <r>
      <t>slope</t>
    </r>
    <r>
      <rPr>
        <vertAlign val="superscript"/>
        <sz val="11"/>
        <color theme="1"/>
        <rFont val="Calibri"/>
        <family val="2"/>
      </rPr>
      <t>b</t>
    </r>
  </si>
  <si>
    <r>
      <t>slope</t>
    </r>
    <r>
      <rPr>
        <vertAlign val="superscript"/>
        <sz val="11"/>
        <color theme="1"/>
        <rFont val="Calibri"/>
        <family val="2"/>
      </rPr>
      <t>d</t>
    </r>
  </si>
  <si>
    <t>mean</t>
  </si>
  <si>
    <t>st err</t>
  </si>
  <si>
    <r>
      <t>R</t>
    </r>
    <r>
      <rPr>
        <vertAlign val="superscript"/>
        <sz val="11"/>
        <color theme="1"/>
        <rFont val="Calibri"/>
        <family val="2"/>
        <scheme val="minor"/>
      </rPr>
      <t>2</t>
    </r>
  </si>
  <si>
    <r>
      <t>Mean</t>
    </r>
    <r>
      <rPr>
        <vertAlign val="superscript"/>
        <sz val="11"/>
        <rFont val="Calibri"/>
        <family val="2"/>
      </rPr>
      <t xml:space="preserve"> </t>
    </r>
    <r>
      <rPr>
        <sz val="11"/>
        <rFont val="Calibri"/>
        <family val="2"/>
      </rPr>
      <t>POC/</t>
    </r>
    <r>
      <rPr>
        <vertAlign val="superscript"/>
        <sz val="11"/>
        <rFont val="Calibri"/>
        <family val="2"/>
      </rPr>
      <t>234</t>
    </r>
    <r>
      <rPr>
        <sz val="11"/>
        <rFont val="Calibri"/>
        <family val="2"/>
      </rPr>
      <t xml:space="preserve">Th (C/Th) ratios in size-fractionated particles combining all in situ pump casts (n = 12) obtained by using two methods: 1) slope (± standard error) from the linear relationships between POC concentrations and </t>
    </r>
    <r>
      <rPr>
        <vertAlign val="superscript"/>
        <sz val="11"/>
        <rFont val="Calibri"/>
        <family val="2"/>
      </rPr>
      <t>234</t>
    </r>
    <r>
      <rPr>
        <sz val="11"/>
        <rFont val="Calibri"/>
        <family val="2"/>
      </rPr>
      <t>Th activities measured at either a single depth or a combination of depths and setting the intercept to zero, 2) arithmetic mean (± standard deviation) at each sampled depth. Both methods provide comparable results within uncertainties</t>
    </r>
  </si>
  <si>
    <r>
      <t>a</t>
    </r>
    <r>
      <rPr>
        <sz val="11"/>
        <color theme="1"/>
        <rFont val="Calibri"/>
        <family val="2"/>
      </rPr>
      <t xml:space="preserve">For small particles, mean C/Th ratios (slope) were calculated from POC vs. </t>
    </r>
    <r>
      <rPr>
        <vertAlign val="superscript"/>
        <sz val="11"/>
        <color theme="1"/>
        <rFont val="Calibri"/>
        <family val="2"/>
      </rPr>
      <t>234</t>
    </r>
    <r>
      <rPr>
        <sz val="11"/>
        <color theme="1"/>
        <rFont val="Calibri"/>
        <family val="2"/>
      </rPr>
      <t xml:space="preserve">Th relationships measured at 50-100 m and 330-500 m. No relationships were found at 150 m and 200 m  </t>
    </r>
  </si>
  <si>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For mid-sized particles, mean C/Th ratios (slope) were calculated from POC vs. </t>
    </r>
    <r>
      <rPr>
        <vertAlign val="superscript"/>
        <sz val="11"/>
        <color theme="1"/>
        <rFont val="Calibri"/>
        <family val="2"/>
      </rPr>
      <t>234</t>
    </r>
    <r>
      <rPr>
        <sz val="11"/>
        <color theme="1"/>
        <rFont val="Calibri"/>
        <family val="2"/>
      </rPr>
      <t>Th relationships measured at 50 m, 100 m and 150-500 m</t>
    </r>
  </si>
  <si>
    <r>
      <rPr>
        <vertAlign val="superscript"/>
        <sz val="11"/>
        <color theme="1"/>
        <rFont val="Calibri (Body)"/>
      </rPr>
      <t>c</t>
    </r>
    <r>
      <rPr>
        <sz val="11"/>
        <color theme="1"/>
        <rFont val="Calibri"/>
        <family val="2"/>
        <scheme val="minor"/>
      </rPr>
      <t>Seven samples (out of 70) were identified as outliers due to swimmer contamination (see details in section 3b) and, therefore, were excluded from this analysis</t>
    </r>
  </si>
  <si>
    <r>
      <t>d</t>
    </r>
    <r>
      <rPr>
        <sz val="11"/>
        <color theme="1"/>
        <rFont val="Calibri"/>
        <family val="2"/>
      </rPr>
      <t xml:space="preserve">For large particles, the mean C/Th ratio (slope) was calculated from the POC vs. </t>
    </r>
    <r>
      <rPr>
        <vertAlign val="superscript"/>
        <sz val="11"/>
        <color theme="1"/>
        <rFont val="Calibri"/>
        <family val="2"/>
      </rPr>
      <t>234</t>
    </r>
    <r>
      <rPr>
        <sz val="11"/>
        <color theme="1"/>
        <rFont val="Calibri"/>
        <family val="2"/>
      </rPr>
      <t>Th relationship combining data from all depths (50-500 m)</t>
    </r>
  </si>
  <si>
    <t>Table S3</t>
  </si>
  <si>
    <t>Sensitivity of cruise average POC fluxes to choice of SS vs NSS model and C/Th ratios</t>
  </si>
  <si>
    <r>
      <t>Average POC flux (mmol C m-2 d-1)</t>
    </r>
    <r>
      <rPr>
        <vertAlign val="superscript"/>
        <sz val="11"/>
        <color theme="1"/>
        <rFont val="Calibri (Body)"/>
      </rPr>
      <t>c</t>
    </r>
  </si>
  <si>
    <t>1-5 μm</t>
  </si>
  <si>
    <t>&gt;51 μm</t>
  </si>
  <si>
    <r>
      <t>a</t>
    </r>
    <r>
      <rPr>
        <sz val="11"/>
        <color theme="1"/>
        <rFont val="Calibri"/>
        <family val="2"/>
      </rPr>
      <t xml:space="preserve">POC fluxes were calculated by multiplying each C/Th ratio (Table 2) by the cruise average steady-state </t>
    </r>
    <r>
      <rPr>
        <vertAlign val="superscript"/>
        <sz val="11"/>
        <color theme="1"/>
        <rFont val="Calibri"/>
        <family val="2"/>
      </rPr>
      <t>234</t>
    </r>
    <r>
      <rPr>
        <sz val="11"/>
        <color theme="1"/>
        <rFont val="Calibri"/>
        <family val="2"/>
      </rPr>
      <t xml:space="preserve">Th flux (Table 1) at a given depth </t>
    </r>
  </si>
  <si>
    <r>
      <t>b</t>
    </r>
    <r>
      <rPr>
        <sz val="11"/>
        <color theme="1"/>
        <rFont val="Calibri"/>
        <family val="2"/>
      </rPr>
      <t xml:space="preserve">POC fluxes were calculated by multiplying each C/Th ratio (Table 2) by the non-steady-state </t>
    </r>
    <r>
      <rPr>
        <vertAlign val="superscript"/>
        <sz val="11"/>
        <color theme="1"/>
        <rFont val="Calibri"/>
        <family val="2"/>
      </rPr>
      <t>234</t>
    </r>
    <r>
      <rPr>
        <sz val="11"/>
        <color theme="1"/>
        <rFont val="Calibri"/>
        <family val="2"/>
      </rPr>
      <t xml:space="preserve">Th flux (Table 1) at a given depth </t>
    </r>
  </si>
  <si>
    <r>
      <t>c</t>
    </r>
    <r>
      <rPr>
        <sz val="11"/>
        <color theme="1"/>
        <rFont val="Calibri"/>
        <family val="2"/>
      </rPr>
      <t>Average POC flux was calculated averaging the SS and NSS POC flux estimates using each C/Th ratio. Uncertainties were calculated by propagating the uncertainties of the SS and NSS POC flux estimates</t>
    </r>
  </si>
  <si>
    <t>Difference</t>
  </si>
  <si>
    <t>NSS/SS percent</t>
  </si>
  <si>
    <t>Not on Elementa</t>
  </si>
  <si>
    <t>trap depths</t>
  </si>
  <si>
    <t>*to derive NSS fluxes for individual profiles to compare to UVP, use these factors x individual SS fluxes</t>
  </si>
  <si>
    <t>Table S1 has complete SS 234Th for each profile</t>
  </si>
  <si>
    <t>error</t>
  </si>
  <si>
    <t>NSS/SS</t>
  </si>
  <si>
    <t>stdev</t>
  </si>
  <si>
    <t>MULTIPPLY SS by 0.71 to get average NSS flux</t>
  </si>
  <si>
    <t>SS</t>
  </si>
  <si>
    <t>NSS = SS*0.71</t>
  </si>
  <si>
    <t>NSS/SS=</t>
  </si>
  <si>
    <t>Use this from Table 1 mean and st dev for correction below</t>
  </si>
  <si>
    <r>
      <t>SS POC flux</t>
    </r>
    <r>
      <rPr>
        <vertAlign val="superscript"/>
        <sz val="11"/>
        <color theme="1"/>
        <rFont val="Calibri"/>
        <family val="2"/>
        <scheme val="minor"/>
      </rPr>
      <t>d</t>
    </r>
  </si>
  <si>
    <r>
      <t>NSS POC flux</t>
    </r>
    <r>
      <rPr>
        <vertAlign val="superscript"/>
        <sz val="11"/>
        <color rgb="FFFF0000"/>
        <rFont val="Calibri"/>
        <family val="2"/>
        <scheme val="minor"/>
      </rPr>
      <t>e</t>
    </r>
  </si>
  <si>
    <r>
      <t>mmol C m</t>
    </r>
    <r>
      <rPr>
        <vertAlign val="superscript"/>
        <sz val="11"/>
        <color rgb="FFFF0000"/>
        <rFont val="Calibri"/>
        <family val="2"/>
        <scheme val="minor"/>
      </rPr>
      <t>-2</t>
    </r>
    <r>
      <rPr>
        <sz val="11"/>
        <color rgb="FFFF0000"/>
        <rFont val="Calibri"/>
        <family val="2"/>
        <scheme val="minor"/>
      </rPr>
      <t xml:space="preserve"> d</t>
    </r>
    <r>
      <rPr>
        <vertAlign val="superscript"/>
        <sz val="11"/>
        <color rgb="FFFF0000"/>
        <rFont val="Calibri"/>
        <family val="2"/>
        <scheme val="minor"/>
      </rPr>
      <t>-1</t>
    </r>
  </si>
  <si>
    <r>
      <rPr>
        <vertAlign val="superscript"/>
        <sz val="11"/>
        <color rgb="FFFF0000"/>
        <rFont val="Calibri"/>
        <family val="2"/>
        <scheme val="minor"/>
      </rPr>
      <t>e</t>
    </r>
    <r>
      <rPr>
        <sz val="11"/>
        <color rgb="FFFF0000"/>
        <rFont val="Calibri"/>
        <family val="2"/>
        <scheme val="minor"/>
      </rPr>
      <t>NSS POC fluxes were calculated by multiplying SS POC by average NSS term derived from E1 to E3 dTh/dt term.  No sifnificant trend vs depth was found</t>
    </r>
  </si>
  <si>
    <t>Added this uncertainty on NSS term to NSS POC flux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</si>
</sst>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;@"/>
    <numFmt numFmtId="165" formatCode="h:mm;@"/>
    <numFmt numFmtId="166" formatCode="0.0"/>
    <numFmt numFmtId="167" formatCode="0.000"/>
    <numFmt numFmtId="168" formatCode="0.0000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rgb="FF000000"/>
      <name val="Courier New"/>
      <family val="1"/>
    </font>
    <font>
      <vertAlign val="superscript"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vertAlign val="superscript"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vertAlign val="superscript"/>
      <sz val="11"/>
      <color rgb="FF000000"/>
      <name val="Calibri (Body)"/>
    </font>
    <font>
      <sz val="11"/>
      <color rgb="FF000000"/>
      <name val="Calibri (Body)"/>
    </font>
    <font>
      <sz val="11"/>
      <color rgb="FFFF0000"/>
      <name val="Calibri"/>
      <family val="2"/>
    </font>
    <font>
      <b/>
      <vertAlign val="superscript"/>
      <sz val="11"/>
      <color theme="1"/>
      <name val="Calibri"/>
      <family val="2"/>
    </font>
    <font>
      <sz val="11"/>
      <color rgb="FFFF0000"/>
      <name val="Calibri (Body)_x0000_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 (Body)_x0000_"/>
    </font>
    <font>
      <vertAlign val="superscript"/>
      <sz val="11"/>
      <color theme="1"/>
      <name val="Calibri (Body)"/>
    </font>
    <font>
      <sz val="11"/>
      <name val="Calibri"/>
      <family val="2"/>
      <scheme val="minor"/>
    </font>
    <font>
      <sz val="14"/>
      <name val="Courier New"/>
      <family val="1"/>
    </font>
    <font>
      <i/>
      <sz val="9"/>
      <name val="Calibri"/>
      <family val="2"/>
    </font>
    <font>
      <i/>
      <sz val="9"/>
      <color theme="1"/>
      <name val="Calibri"/>
      <family val="2"/>
      <scheme val="minor"/>
    </font>
    <font>
      <i/>
      <sz val="9"/>
      <color theme="1"/>
      <name val="Calibri"/>
      <family val="2"/>
    </font>
    <font>
      <vertAlign val="superscript"/>
      <sz val="11"/>
      <color rgb="FF000000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Courier New"/>
      <family val="1"/>
    </font>
    <font>
      <vertAlign val="superscript"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5" fillId="0" borderId="0" applyFont="0" applyFill="0" applyBorder="0" applyAlignment="0" applyProtection="0"/>
  </cellStyleXfs>
  <cellXfs count="17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2" fontId="1" fillId="0" borderId="8" xfId="0" applyNumberFormat="1" applyFont="1" applyFill="1" applyBorder="1" applyAlignment="1">
      <alignment horizontal="center"/>
    </xf>
    <xf numFmtId="1" fontId="1" fillId="0" borderId="8" xfId="0" applyNumberFormat="1" applyFont="1" applyFill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6" fontId="1" fillId="0" borderId="0" xfId="0" applyNumberFormat="1" applyFont="1"/>
    <xf numFmtId="0" fontId="1" fillId="0" borderId="0" xfId="0" quotePrefix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quotePrefix="1" applyFont="1"/>
    <xf numFmtId="0" fontId="1" fillId="0" borderId="0" xfId="0" quotePrefix="1" applyFont="1" applyFill="1" applyBorder="1" applyAlignment="1">
      <alignment horizontal="center"/>
    </xf>
    <xf numFmtId="167" fontId="1" fillId="0" borderId="0" xfId="0" applyNumberFormat="1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165" fontId="1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1" fontId="5" fillId="0" borderId="0" xfId="0" applyNumberFormat="1" applyFont="1" applyFill="1" applyBorder="1" applyAlignment="1">
      <alignment horizontal="center"/>
    </xf>
    <xf numFmtId="2" fontId="5" fillId="0" borderId="8" xfId="0" applyNumberFormat="1" applyFont="1" applyFill="1" applyBorder="1" applyAlignment="1">
      <alignment horizontal="center"/>
    </xf>
    <xf numFmtId="0" fontId="5" fillId="0" borderId="0" xfId="0" quotePrefix="1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1" fillId="0" borderId="8" xfId="0" quotePrefix="1" applyFont="1" applyFill="1" applyBorder="1" applyAlignment="1">
      <alignment horizontal="center"/>
    </xf>
    <xf numFmtId="1" fontId="5" fillId="0" borderId="0" xfId="0" quotePrefix="1" applyNumberFormat="1" applyFont="1" applyFill="1" applyBorder="1" applyAlignment="1">
      <alignment horizontal="center"/>
    </xf>
    <xf numFmtId="2" fontId="0" fillId="0" borderId="0" xfId="0" applyNumberFormat="1"/>
    <xf numFmtId="0" fontId="0" fillId="0" borderId="0" xfId="0" applyBorder="1"/>
    <xf numFmtId="0" fontId="2" fillId="0" borderId="0" xfId="0" applyFont="1" applyBorder="1"/>
    <xf numFmtId="2" fontId="1" fillId="0" borderId="0" xfId="0" applyNumberFormat="1" applyFont="1"/>
    <xf numFmtId="2" fontId="5" fillId="0" borderId="0" xfId="0" quotePrefix="1" applyNumberFormat="1" applyFont="1" applyFill="1" applyBorder="1" applyAlignment="1">
      <alignment horizontal="center"/>
    </xf>
    <xf numFmtId="0" fontId="10" fillId="0" borderId="0" xfId="0" applyFon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/>
    <xf numFmtId="168" fontId="0" fillId="0" borderId="0" xfId="0" applyNumberFormat="1" applyFont="1" applyFill="1"/>
    <xf numFmtId="0" fontId="5" fillId="0" borderId="10" xfId="0" applyFont="1" applyFill="1" applyBorder="1" applyAlignment="1">
      <alignment horizontal="center"/>
    </xf>
    <xf numFmtId="2" fontId="1" fillId="0" borderId="10" xfId="0" applyNumberFormat="1" applyFont="1" applyFill="1" applyBorder="1" applyAlignment="1">
      <alignment horizontal="center"/>
    </xf>
    <xf numFmtId="2" fontId="1" fillId="0" borderId="9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8" fillId="0" borderId="5" xfId="0" applyNumberFormat="1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0" xfId="0" applyFont="1" applyFill="1"/>
    <xf numFmtId="0" fontId="0" fillId="0" borderId="0" xfId="0" applyFill="1"/>
    <xf numFmtId="0" fontId="0" fillId="0" borderId="0" xfId="0" applyFill="1" applyBorder="1"/>
    <xf numFmtId="0" fontId="11" fillId="0" borderId="0" xfId="0" applyFont="1" applyAlignment="1">
      <alignment horizontal="left"/>
    </xf>
    <xf numFmtId="0" fontId="8" fillId="0" borderId="0" xfId="0" applyFont="1" applyFill="1" applyBorder="1" applyAlignment="1"/>
    <xf numFmtId="2" fontId="1" fillId="0" borderId="4" xfId="0" applyNumberFormat="1" applyFont="1" applyFill="1" applyBorder="1" applyAlignment="1">
      <alignment horizontal="center"/>
    </xf>
    <xf numFmtId="2" fontId="1" fillId="0" borderId="5" xfId="0" applyNumberFormat="1" applyFont="1" applyFill="1" applyBorder="1" applyAlignment="1">
      <alignment horizontal="center"/>
    </xf>
    <xf numFmtId="2" fontId="1" fillId="0" borderId="6" xfId="0" applyNumberFormat="1" applyFont="1" applyFill="1" applyBorder="1" applyAlignment="1">
      <alignment horizontal="center"/>
    </xf>
    <xf numFmtId="2" fontId="1" fillId="0" borderId="7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left"/>
    </xf>
    <xf numFmtId="2" fontId="13" fillId="0" borderId="0" xfId="0" applyNumberFormat="1" applyFont="1"/>
    <xf numFmtId="2" fontId="13" fillId="0" borderId="0" xfId="0" applyNumberFormat="1" applyFont="1" applyFill="1" applyBorder="1" applyAlignment="1">
      <alignment horizontal="center"/>
    </xf>
    <xf numFmtId="0" fontId="13" fillId="0" borderId="0" xfId="0" applyFont="1"/>
    <xf numFmtId="0" fontId="13" fillId="0" borderId="0" xfId="0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2" fontId="15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5" fillId="0" borderId="0" xfId="0" applyFont="1"/>
    <xf numFmtId="0" fontId="17" fillId="0" borderId="0" xfId="0" applyFont="1"/>
    <xf numFmtId="0" fontId="18" fillId="0" borderId="0" xfId="0" applyFont="1"/>
    <xf numFmtId="0" fontId="1" fillId="0" borderId="0" xfId="0" applyFont="1" applyBorder="1"/>
    <xf numFmtId="0" fontId="13" fillId="0" borderId="0" xfId="0" applyFont="1" applyFill="1"/>
    <xf numFmtId="0" fontId="15" fillId="0" borderId="0" xfId="0" applyFont="1"/>
    <xf numFmtId="2" fontId="1" fillId="0" borderId="0" xfId="0" applyNumberFormat="1" applyFont="1" applyFill="1"/>
    <xf numFmtId="2" fontId="19" fillId="0" borderId="4" xfId="0" applyNumberFormat="1" applyFont="1" applyBorder="1" applyAlignment="1">
      <alignment horizontal="center"/>
    </xf>
    <xf numFmtId="2" fontId="21" fillId="0" borderId="4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/>
    </xf>
    <xf numFmtId="1" fontId="0" fillId="0" borderId="6" xfId="0" applyNumberFormat="1" applyFont="1" applyBorder="1" applyAlignment="1">
      <alignment horizontal="center"/>
    </xf>
    <xf numFmtId="0" fontId="0" fillId="0" borderId="0" xfId="0" applyFont="1"/>
    <xf numFmtId="166" fontId="1" fillId="0" borderId="0" xfId="0" applyNumberFormat="1" applyFont="1" applyAlignment="1">
      <alignment horizontal="left"/>
    </xf>
    <xf numFmtId="0" fontId="5" fillId="0" borderId="6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15" fillId="0" borderId="7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5" fillId="0" borderId="10" xfId="0" quotePrefix="1" applyFont="1" applyFill="1" applyBorder="1" applyAlignment="1">
      <alignment horizontal="center" vertical="center"/>
    </xf>
    <xf numFmtId="0" fontId="5" fillId="0" borderId="9" xfId="0" quotePrefix="1" applyFont="1" applyFill="1" applyBorder="1" applyAlignment="1">
      <alignment horizontal="center" vertical="center"/>
    </xf>
    <xf numFmtId="0" fontId="5" fillId="0" borderId="7" xfId="0" quotePrefix="1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6" xfId="0" quotePrefix="1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5" fillId="0" borderId="9" xfId="0" quotePrefix="1" applyFont="1" applyFill="1" applyBorder="1" applyAlignment="1">
      <alignment horizontal="center"/>
    </xf>
    <xf numFmtId="1" fontId="8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5" fillId="0" borderId="8" xfId="0" quotePrefix="1" applyFont="1" applyFill="1" applyBorder="1" applyAlignment="1">
      <alignment horizontal="center"/>
    </xf>
    <xf numFmtId="2" fontId="5" fillId="0" borderId="4" xfId="0" applyNumberFormat="1" applyFont="1" applyFill="1" applyBorder="1" applyAlignment="1">
      <alignment horizontal="center"/>
    </xf>
    <xf numFmtId="2" fontId="5" fillId="0" borderId="5" xfId="0" applyNumberFormat="1" applyFont="1" applyFill="1" applyBorder="1" applyAlignment="1">
      <alignment horizontal="center"/>
    </xf>
    <xf numFmtId="2" fontId="5" fillId="0" borderId="7" xfId="0" applyNumberFormat="1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3" xfId="0" applyNumberFormat="1" applyFont="1" applyFill="1" applyBorder="1" applyAlignment="1">
      <alignment horizontal="center"/>
    </xf>
    <xf numFmtId="2" fontId="1" fillId="0" borderId="3" xfId="0" applyNumberFormat="1" applyFont="1" applyFill="1" applyBorder="1" applyAlignment="1">
      <alignment horizontal="center"/>
    </xf>
    <xf numFmtId="2" fontId="20" fillId="0" borderId="0" xfId="0" applyNumberFormat="1" applyFont="1" applyFill="1" applyBorder="1" applyAlignment="1">
      <alignment horizontal="center"/>
    </xf>
    <xf numFmtId="2" fontId="19" fillId="0" borderId="0" xfId="0" applyNumberFormat="1" applyFont="1" applyFill="1" applyBorder="1" applyAlignment="1">
      <alignment horizontal="center"/>
    </xf>
    <xf numFmtId="2" fontId="21" fillId="0" borderId="0" xfId="0" applyNumberFormat="1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0" fillId="0" borderId="8" xfId="0" applyNumberFormat="1" applyFont="1" applyFill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11" xfId="0" applyBorder="1"/>
    <xf numFmtId="0" fontId="1" fillId="0" borderId="9" xfId="0" applyFont="1" applyFill="1" applyBorder="1" applyAlignment="1">
      <alignment horizontal="center"/>
    </xf>
    <xf numFmtId="0" fontId="7" fillId="0" borderId="0" xfId="0" applyFont="1"/>
    <xf numFmtId="0" fontId="22" fillId="0" borderId="0" xfId="0" quotePrefix="1" applyFont="1"/>
    <xf numFmtId="0" fontId="23" fillId="0" borderId="4" xfId="0" applyFont="1" applyFill="1" applyBorder="1" applyAlignment="1">
      <alignment horizontal="center"/>
    </xf>
    <xf numFmtId="0" fontId="24" fillId="0" borderId="4" xfId="0" applyFont="1" applyFill="1" applyBorder="1" applyAlignment="1">
      <alignment horizontal="center"/>
    </xf>
    <xf numFmtId="2" fontId="15" fillId="0" borderId="2" xfId="0" applyNumberFormat="1" applyFont="1" applyFill="1" applyBorder="1" applyAlignment="1">
      <alignment horizontal="center"/>
    </xf>
    <xf numFmtId="2" fontId="20" fillId="0" borderId="5" xfId="0" applyNumberFormat="1" applyFont="1" applyFill="1" applyBorder="1" applyAlignment="1">
      <alignment horizontal="center"/>
    </xf>
    <xf numFmtId="2" fontId="15" fillId="0" borderId="5" xfId="0" applyNumberFormat="1" applyFont="1" applyFill="1" applyBorder="1" applyAlignment="1">
      <alignment horizontal="center"/>
    </xf>
    <xf numFmtId="2" fontId="15" fillId="0" borderId="7" xfId="0" applyNumberFormat="1" applyFont="1" applyFill="1" applyBorder="1" applyAlignment="1">
      <alignment horizontal="center"/>
    </xf>
    <xf numFmtId="166" fontId="1" fillId="0" borderId="0" xfId="0" quotePrefix="1" applyNumberFormat="1" applyFont="1" applyAlignment="1">
      <alignment horizontal="right"/>
    </xf>
    <xf numFmtId="0" fontId="5" fillId="0" borderId="0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" fontId="1" fillId="0" borderId="4" xfId="0" quotePrefix="1" applyNumberFormat="1" applyFont="1" applyBorder="1" applyAlignment="1">
      <alignment horizontal="center"/>
    </xf>
    <xf numFmtId="16" fontId="1" fillId="0" borderId="0" xfId="0" quotePrefix="1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6" fontId="1" fillId="0" borderId="0" xfId="0" quotePrefix="1" applyNumberFormat="1" applyFont="1" applyFill="1" applyBorder="1" applyAlignment="1">
      <alignment horizontal="center"/>
    </xf>
    <xf numFmtId="16" fontId="1" fillId="0" borderId="5" xfId="0" quotePrefix="1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9" fontId="0" fillId="2" borderId="0" xfId="1" applyFont="1" applyFill="1"/>
    <xf numFmtId="2" fontId="0" fillId="2" borderId="0" xfId="0" applyNumberFormat="1" applyFill="1"/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6" fillId="2" borderId="0" xfId="0" applyFont="1" applyFill="1"/>
    <xf numFmtId="0" fontId="26" fillId="0" borderId="0" xfId="0" applyFont="1"/>
    <xf numFmtId="0" fontId="27" fillId="0" borderId="0" xfId="0" applyFont="1"/>
    <xf numFmtId="0" fontId="11" fillId="2" borderId="0" xfId="0" applyFont="1" applyFill="1" applyBorder="1" applyAlignment="1">
      <alignment horizontal="left"/>
    </xf>
    <xf numFmtId="2" fontId="27" fillId="2" borderId="0" xfId="0" applyNumberFormat="1" applyFont="1" applyFill="1"/>
    <xf numFmtId="2" fontId="26" fillId="0" borderId="0" xfId="0" applyNumberFormat="1" applyFont="1"/>
    <xf numFmtId="2" fontId="0" fillId="0" borderId="0" xfId="0" applyNumberFormat="1" applyFont="1" applyFill="1"/>
    <xf numFmtId="0" fontId="26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11" fillId="0" borderId="0" xfId="0" quotePrefix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NSS/SS fluxes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'Table 1'!$T$7:$T$19</c:f>
                <c:numCache>
                  <c:formatCode>General</c:formatCode>
                  <c:ptCount val="13"/>
                  <c:pt idx="0">
                    <c:v>0.40721004951552892</c:v>
                  </c:pt>
                  <c:pt idx="1">
                    <c:v>0.32730161093193327</c:v>
                  </c:pt>
                  <c:pt idx="2">
                    <c:v>0.2910568178580954</c:v>
                  </c:pt>
                  <c:pt idx="3">
                    <c:v>0.25981880045981642</c:v>
                  </c:pt>
                  <c:pt idx="4">
                    <c:v>0.29827015114887434</c:v>
                  </c:pt>
                  <c:pt idx="5">
                    <c:v>0.35102370103949115</c:v>
                  </c:pt>
                  <c:pt idx="6">
                    <c:v>0.40359670274798032</c:v>
                  </c:pt>
                  <c:pt idx="7">
                    <c:v>0.50550315222201725</c:v>
                  </c:pt>
                  <c:pt idx="8">
                    <c:v>0.65536407899423288</c:v>
                  </c:pt>
                  <c:pt idx="9">
                    <c:v>1.0217053009338419</c:v>
                  </c:pt>
                  <c:pt idx="10">
                    <c:v>1.2102092977475083</c:v>
                  </c:pt>
                  <c:pt idx="11">
                    <c:v>1.4390834229068921</c:v>
                  </c:pt>
                  <c:pt idx="12">
                    <c:v>1.6834420691678897</c:v>
                  </c:pt>
                </c:numCache>
              </c:numRef>
            </c:plus>
            <c:minus>
              <c:numRef>
                <c:f>'Table 1'!$T$7:$T$19</c:f>
                <c:numCache>
                  <c:formatCode>General</c:formatCode>
                  <c:ptCount val="13"/>
                  <c:pt idx="0">
                    <c:v>0.40721004951552892</c:v>
                  </c:pt>
                  <c:pt idx="1">
                    <c:v>0.32730161093193327</c:v>
                  </c:pt>
                  <c:pt idx="2">
                    <c:v>0.2910568178580954</c:v>
                  </c:pt>
                  <c:pt idx="3">
                    <c:v>0.25981880045981642</c:v>
                  </c:pt>
                  <c:pt idx="4">
                    <c:v>0.29827015114887434</c:v>
                  </c:pt>
                  <c:pt idx="5">
                    <c:v>0.35102370103949115</c:v>
                  </c:pt>
                  <c:pt idx="6">
                    <c:v>0.40359670274798032</c:v>
                  </c:pt>
                  <c:pt idx="7">
                    <c:v>0.50550315222201725</c:v>
                  </c:pt>
                  <c:pt idx="8">
                    <c:v>0.65536407899423288</c:v>
                  </c:pt>
                  <c:pt idx="9">
                    <c:v>1.0217053009338419</c:v>
                  </c:pt>
                  <c:pt idx="10">
                    <c:v>1.2102092977475083</c:v>
                  </c:pt>
                  <c:pt idx="11">
                    <c:v>1.4390834229068921</c:v>
                  </c:pt>
                  <c:pt idx="12">
                    <c:v>1.6834420691678897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'Table 1'!$S$7:$S$19</c:f>
              <c:numCache>
                <c:formatCode>0.00</c:formatCode>
                <c:ptCount val="13"/>
                <c:pt idx="0">
                  <c:v>0.68036964489809282</c:v>
                </c:pt>
                <c:pt idx="1">
                  <c:v>0.66819796580024782</c:v>
                </c:pt>
                <c:pt idx="2">
                  <c:v>0.66102171621382066</c:v>
                </c:pt>
                <c:pt idx="3">
                  <c:v>0.61858501842082447</c:v>
                </c:pt>
                <c:pt idx="4">
                  <c:v>0.64537586250439194</c:v>
                </c:pt>
                <c:pt idx="5">
                  <c:v>0.6904986535639609</c:v>
                </c:pt>
                <c:pt idx="6">
                  <c:v>0.70511353503134966</c:v>
                </c:pt>
                <c:pt idx="7">
                  <c:v>0.71838160341388091</c:v>
                </c:pt>
                <c:pt idx="8">
                  <c:v>0.67967842647465526</c:v>
                </c:pt>
                <c:pt idx="9">
                  <c:v>0.60316619975857966</c:v>
                </c:pt>
                <c:pt idx="10">
                  <c:v>0.92270736636190331</c:v>
                </c:pt>
                <c:pt idx="11">
                  <c:v>0.86768863013342989</c:v>
                </c:pt>
                <c:pt idx="12">
                  <c:v>0.73098017258968051</c:v>
                </c:pt>
              </c:numCache>
            </c:numRef>
          </c:xVal>
          <c:yVal>
            <c:numRef>
              <c:f>'Table 1'!$A$7:$A$19</c:f>
              <c:numCache>
                <c:formatCode>General</c:formatCode>
                <c:ptCount val="13"/>
                <c:pt idx="0">
                  <c:v>5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  <c:pt idx="4">
                  <c:v>65</c:v>
                </c:pt>
                <c:pt idx="5">
                  <c:v>80</c:v>
                </c:pt>
                <c:pt idx="6">
                  <c:v>100</c:v>
                </c:pt>
                <c:pt idx="7">
                  <c:v>120</c:v>
                </c:pt>
                <c:pt idx="8">
                  <c:v>150</c:v>
                </c:pt>
                <c:pt idx="9">
                  <c:v>200</c:v>
                </c:pt>
                <c:pt idx="10">
                  <c:v>280</c:v>
                </c:pt>
                <c:pt idx="11">
                  <c:v>330</c:v>
                </c:pt>
                <c:pt idx="12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F6-4182-8A89-8DB19B9DF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848144"/>
        <c:axId val="1073851888"/>
      </c:scatterChart>
      <c:valAx>
        <c:axId val="107384814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851888"/>
        <c:crosses val="autoZero"/>
        <c:crossBetween val="midCat"/>
      </c:valAx>
      <c:valAx>
        <c:axId val="107385188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84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CTD#1</a:t>
            </a:r>
          </a:p>
        </c:rich>
      </c:tx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SS w-err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'Table S1'!$S$6:$S$18</c:f>
                <c:numCache>
                  <c:formatCode>General</c:formatCode>
                  <c:ptCount val="13"/>
                  <c:pt idx="0">
                    <c:v>0.58508008157115399</c:v>
                  </c:pt>
                  <c:pt idx="1">
                    <c:v>1.4052692037208268</c:v>
                  </c:pt>
                  <c:pt idx="2">
                    <c:v>1.9165145968095352</c:v>
                  </c:pt>
                  <c:pt idx="3">
                    <c:v>2.3178710881590008</c:v>
                  </c:pt>
                  <c:pt idx="4">
                    <c:v>1.8154488156268951</c:v>
                  </c:pt>
                  <c:pt idx="5">
                    <c:v>1.0716358641614872</c:v>
                  </c:pt>
                  <c:pt idx="6">
                    <c:v>0.41134313728934907</c:v>
                  </c:pt>
                  <c:pt idx="7">
                    <c:v>0.35996225560054074</c:v>
                  </c:pt>
                  <c:pt idx="8">
                    <c:v>0.36624580059124889</c:v>
                  </c:pt>
                  <c:pt idx="9">
                    <c:v>0.41509990672692809</c:v>
                  </c:pt>
                  <c:pt idx="10">
                    <c:v>0.32543508237047586</c:v>
                  </c:pt>
                  <c:pt idx="11">
                    <c:v>0.51621860740156067</c:v>
                  </c:pt>
                  <c:pt idx="12">
                    <c:v>0.53158839861408902</c:v>
                  </c:pt>
                </c:numCache>
              </c:numRef>
            </c:plus>
            <c:minus>
              <c:numRef>
                <c:f>'Table S1'!$S$6:$S$18</c:f>
                <c:numCache>
                  <c:formatCode>General</c:formatCode>
                  <c:ptCount val="13"/>
                  <c:pt idx="0">
                    <c:v>0.58508008157115399</c:v>
                  </c:pt>
                  <c:pt idx="1">
                    <c:v>1.4052692037208268</c:v>
                  </c:pt>
                  <c:pt idx="2">
                    <c:v>1.9165145968095352</c:v>
                  </c:pt>
                  <c:pt idx="3">
                    <c:v>2.3178710881590008</c:v>
                  </c:pt>
                  <c:pt idx="4">
                    <c:v>1.8154488156268951</c:v>
                  </c:pt>
                  <c:pt idx="5">
                    <c:v>1.0716358641614872</c:v>
                  </c:pt>
                  <c:pt idx="6">
                    <c:v>0.41134313728934907</c:v>
                  </c:pt>
                  <c:pt idx="7">
                    <c:v>0.35996225560054074</c:v>
                  </c:pt>
                  <c:pt idx="8">
                    <c:v>0.36624580059124889</c:v>
                  </c:pt>
                  <c:pt idx="9">
                    <c:v>0.41509990672692809</c:v>
                  </c:pt>
                  <c:pt idx="10">
                    <c:v>0.32543508237047586</c:v>
                  </c:pt>
                  <c:pt idx="11">
                    <c:v>0.51621860740156067</c:v>
                  </c:pt>
                  <c:pt idx="12">
                    <c:v>0.53158839861408902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'Table S1'!$R$6:$R$18</c:f>
              <c:numCache>
                <c:formatCode>0.00</c:formatCode>
                <c:ptCount val="13"/>
                <c:pt idx="0">
                  <c:v>1.5877556441705571</c:v>
                </c:pt>
                <c:pt idx="1">
                  <c:v>3.8851085610025642</c:v>
                </c:pt>
                <c:pt idx="2">
                  <c:v>5.3012607010329935</c:v>
                </c:pt>
                <c:pt idx="3">
                  <c:v>6.4065440283704325</c:v>
                </c:pt>
                <c:pt idx="4">
                  <c:v>5.8420457393183476</c:v>
                </c:pt>
                <c:pt idx="5">
                  <c:v>4.2386460525951595</c:v>
                </c:pt>
                <c:pt idx="6">
                  <c:v>2.2173722644514013</c:v>
                </c:pt>
                <c:pt idx="7">
                  <c:v>1.7991976140885475</c:v>
                </c:pt>
                <c:pt idx="8">
                  <c:v>1.578807238724423</c:v>
                </c:pt>
                <c:pt idx="9">
                  <c:v>1.4570905077609133</c:v>
                </c:pt>
                <c:pt idx="10">
                  <c:v>1.2975554931560422</c:v>
                </c:pt>
                <c:pt idx="11">
                  <c:v>1.0043942818557381</c:v>
                </c:pt>
                <c:pt idx="12">
                  <c:v>0.82046002612144786</c:v>
                </c:pt>
              </c:numCache>
            </c:numRef>
          </c:xVal>
          <c:yVal>
            <c:numRef>
              <c:f>'Table S1'!$B$6:$B$18</c:f>
              <c:numCache>
                <c:formatCode>0</c:formatCode>
                <c:ptCount val="13"/>
                <c:pt idx="0">
                  <c:v>5.2409999999999997</c:v>
                </c:pt>
                <c:pt idx="1">
                  <c:v>20.795999999999999</c:v>
                </c:pt>
                <c:pt idx="2">
                  <c:v>34.249000000000002</c:v>
                </c:pt>
                <c:pt idx="3">
                  <c:v>48.486999999999902</c:v>
                </c:pt>
                <c:pt idx="4">
                  <c:v>63.323</c:v>
                </c:pt>
                <c:pt idx="5">
                  <c:v>79.132999999999996</c:v>
                </c:pt>
                <c:pt idx="6">
                  <c:v>98.396000000000001</c:v>
                </c:pt>
                <c:pt idx="7">
                  <c:v>108.366</c:v>
                </c:pt>
                <c:pt idx="8">
                  <c:v>122.679</c:v>
                </c:pt>
                <c:pt idx="9">
                  <c:v>149.476</c:v>
                </c:pt>
                <c:pt idx="10">
                  <c:v>198.334</c:v>
                </c:pt>
                <c:pt idx="11">
                  <c:v>333.20800000000003</c:v>
                </c:pt>
                <c:pt idx="12">
                  <c:v>502.94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BE-4101-8DF0-BB49539DE9ED}"/>
            </c:ext>
          </c:extLst>
        </c:ser>
        <c:ser>
          <c:idx val="1"/>
          <c:order val="1"/>
          <c:tx>
            <c:v>NSS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'Table S1'!$T$6:$T$18</c:f>
              <c:numCache>
                <c:formatCode>0.00</c:formatCode>
                <c:ptCount val="13"/>
                <c:pt idx="0">
                  <c:v>1.1226366487239356</c:v>
                </c:pt>
                <c:pt idx="1">
                  <c:v>2.7470003151089855</c:v>
                </c:pt>
                <c:pt idx="2">
                  <c:v>3.7483031909035249</c:v>
                </c:pt>
                <c:pt idx="3">
                  <c:v>4.5298035275883635</c:v>
                </c:pt>
                <c:pt idx="4">
                  <c:v>4.1306700275699226</c:v>
                </c:pt>
                <c:pt idx="5">
                  <c:v>2.9969721204160389</c:v>
                </c:pt>
                <c:pt idx="6">
                  <c:v>1.5678126398584062</c:v>
                </c:pt>
                <c:pt idx="7">
                  <c:v>1.2721385606710496</c:v>
                </c:pt>
                <c:pt idx="8">
                  <c:v>1.1163095996352712</c:v>
                </c:pt>
                <c:pt idx="9">
                  <c:v>1.0302487102004299</c:v>
                </c:pt>
                <c:pt idx="10">
                  <c:v>0.9174480693664947</c:v>
                </c:pt>
                <c:pt idx="11">
                  <c:v>0.7101658461866478</c:v>
                </c:pt>
                <c:pt idx="12">
                  <c:v>0.58011350645716386</c:v>
                </c:pt>
              </c:numCache>
            </c:numRef>
          </c:xVal>
          <c:yVal>
            <c:numRef>
              <c:f>'Table S1'!$B$6:$B$18</c:f>
              <c:numCache>
                <c:formatCode>0</c:formatCode>
                <c:ptCount val="13"/>
                <c:pt idx="0">
                  <c:v>5.2409999999999997</c:v>
                </c:pt>
                <c:pt idx="1">
                  <c:v>20.795999999999999</c:v>
                </c:pt>
                <c:pt idx="2">
                  <c:v>34.249000000000002</c:v>
                </c:pt>
                <c:pt idx="3">
                  <c:v>48.486999999999902</c:v>
                </c:pt>
                <c:pt idx="4">
                  <c:v>63.323</c:v>
                </c:pt>
                <c:pt idx="5">
                  <c:v>79.132999999999996</c:v>
                </c:pt>
                <c:pt idx="6">
                  <c:v>98.396000000000001</c:v>
                </c:pt>
                <c:pt idx="7">
                  <c:v>108.366</c:v>
                </c:pt>
                <c:pt idx="8">
                  <c:v>122.679</c:v>
                </c:pt>
                <c:pt idx="9">
                  <c:v>149.476</c:v>
                </c:pt>
                <c:pt idx="10">
                  <c:v>198.334</c:v>
                </c:pt>
                <c:pt idx="11">
                  <c:v>333.20800000000003</c:v>
                </c:pt>
                <c:pt idx="12">
                  <c:v>502.94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BE-4101-8DF0-BB49539DE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786032"/>
        <c:axId val="1179781872"/>
      </c:scatterChart>
      <c:valAx>
        <c:axId val="11797860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</a:t>
                </a:r>
                <a:r>
                  <a:rPr lang="en-US" baseline="0"/>
                  <a:t> flux mmol C m2/d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781872"/>
        <c:crosses val="autoZero"/>
        <c:crossBetween val="midCat"/>
      </c:valAx>
      <c:valAx>
        <c:axId val="1179781872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78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87086</xdr:colOff>
      <xdr:row>24</xdr:row>
      <xdr:rowOff>212272</xdr:rowOff>
    </xdr:from>
    <xdr:to>
      <xdr:col>13</xdr:col>
      <xdr:colOff>87086</xdr:colOff>
      <xdr:row>44</xdr:row>
      <xdr:rowOff>54428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CBD205-446B-A5F2-F18A-79F84F64D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499110</xdr:colOff>
      <xdr:row>7</xdr:row>
      <xdr:rowOff>163830</xdr:rowOff>
    </xdr:from>
    <xdr:to>
      <xdr:col>30</xdr:col>
      <xdr:colOff>327660</xdr:colOff>
      <xdr:row>40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DB2E1D-6A56-873E-B8D2-574021404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Files/AtlanTZ/NASA%20ROSES/EXPORTS%20proposals/LETZGO%20EXPORTS/Post%202018%20cruise/234Th%20ms%20files/Tables%20for%20ms%20v5%20kb%20edits%20to%20Table%204%20on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"/>
      <sheetName val="Table 2"/>
      <sheetName val="Table 3"/>
      <sheetName val="Table 4"/>
      <sheetName val="Table S1"/>
      <sheetName val="Table S2"/>
      <sheetName val="Table S3"/>
    </sheetNames>
    <sheetDataSet>
      <sheetData sheetId="0"/>
      <sheetData sheetId="1"/>
      <sheetData sheetId="2">
        <row r="6">
          <cell r="F6">
            <v>5.4788378129925048</v>
          </cell>
          <cell r="G6">
            <v>1.7267377991449102</v>
          </cell>
        </row>
        <row r="9">
          <cell r="F9">
            <v>2.0053244051853785</v>
          </cell>
          <cell r="G9">
            <v>0.55733487928306513</v>
          </cell>
        </row>
        <row r="12">
          <cell r="F12">
            <v>1.0566331430229874</v>
          </cell>
          <cell r="G12">
            <v>0.71613058633257243</v>
          </cell>
        </row>
        <row r="15">
          <cell r="F15">
            <v>1.1588565603364194</v>
          </cell>
          <cell r="G15">
            <v>1.1851608782978933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6"/>
  <sheetViews>
    <sheetView topLeftCell="C1" zoomScale="120" zoomScaleNormal="120" workbookViewId="0">
      <selection activeCell="R21" sqref="R21"/>
    </sheetView>
  </sheetViews>
  <sheetFormatPr defaultColWidth="8.88671875" defaultRowHeight="14.4"/>
  <cols>
    <col min="1" max="1" width="9.6640625" customWidth="1"/>
    <col min="2" max="2" width="12.44140625" style="54" customWidth="1"/>
    <col min="3" max="3" width="7.6640625" customWidth="1"/>
    <col min="4" max="4" width="8.88671875" customWidth="1"/>
    <col min="5" max="5" width="3.109375" customWidth="1"/>
    <col min="6" max="7" width="8.88671875" customWidth="1"/>
    <col min="8" max="8" width="3.109375" customWidth="1"/>
    <col min="9" max="10" width="8.88671875" customWidth="1"/>
    <col min="11" max="11" width="3.109375" customWidth="1"/>
    <col min="12" max="12" width="7.44140625" style="71" bestFit="1" customWidth="1"/>
    <col min="13" max="13" width="7.109375" style="71" bestFit="1" customWidth="1"/>
    <col min="14" max="14" width="17.88671875" customWidth="1"/>
    <col min="15" max="15" width="7.109375" style="40" bestFit="1" customWidth="1"/>
    <col min="16" max="16" width="7.33203125" style="40" bestFit="1" customWidth="1"/>
    <col min="17" max="17" width="8.88671875" style="40" customWidth="1"/>
    <col min="18" max="18" width="7.33203125" style="40" customWidth="1"/>
    <col min="19" max="19" width="7.44140625" style="40" bestFit="1" customWidth="1"/>
    <col min="20" max="20" width="10.6640625" bestFit="1" customWidth="1"/>
    <col min="23" max="24" width="11.6640625" bestFit="1" customWidth="1"/>
  </cols>
  <sheetData>
    <row r="1" spans="1:24" ht="16.2">
      <c r="A1" s="2" t="s">
        <v>0</v>
      </c>
      <c r="B1" s="53" t="s">
        <v>1</v>
      </c>
      <c r="C1" s="2"/>
      <c r="E1" s="2"/>
      <c r="F1" s="2"/>
      <c r="G1" s="2"/>
      <c r="H1" s="2"/>
      <c r="I1" s="2"/>
      <c r="J1" s="2"/>
      <c r="K1" s="2"/>
      <c r="L1" s="70"/>
      <c r="M1" s="70"/>
      <c r="N1" s="2"/>
      <c r="O1" s="47"/>
      <c r="P1" s="47"/>
      <c r="Q1" s="47"/>
      <c r="R1" s="47"/>
      <c r="S1" s="47"/>
    </row>
    <row r="2" spans="1:24">
      <c r="A2" s="2"/>
      <c r="B2" s="53"/>
      <c r="C2" s="2"/>
      <c r="D2" s="2"/>
      <c r="E2" s="2"/>
      <c r="F2" s="2"/>
      <c r="G2" s="2"/>
      <c r="H2" s="2"/>
      <c r="I2" s="2"/>
      <c r="J2" s="2"/>
      <c r="K2" s="2"/>
      <c r="L2" s="70"/>
      <c r="M2" s="70"/>
      <c r="N2" s="2"/>
      <c r="O2" s="47"/>
      <c r="P2" s="47"/>
      <c r="Q2" s="47"/>
      <c r="R2" s="56"/>
      <c r="S2" s="47"/>
    </row>
    <row r="3" spans="1:24" ht="17.100000000000001" customHeight="1">
      <c r="A3" s="89"/>
      <c r="B3" s="136"/>
      <c r="C3" s="139" t="s">
        <v>2</v>
      </c>
      <c r="D3" s="140"/>
      <c r="E3" s="140"/>
      <c r="F3" s="140"/>
      <c r="G3" s="140"/>
      <c r="H3" s="140"/>
      <c r="I3" s="140"/>
      <c r="J3" s="140"/>
      <c r="K3" s="140"/>
      <c r="L3" s="133"/>
      <c r="M3" s="134"/>
      <c r="N3" s="52" t="s">
        <v>3</v>
      </c>
      <c r="O3" s="139" t="s">
        <v>4</v>
      </c>
      <c r="P3" s="140"/>
      <c r="Q3" s="140"/>
      <c r="R3" s="141"/>
      <c r="S3" s="165" t="s">
        <v>195</v>
      </c>
      <c r="T3" s="166"/>
      <c r="U3" s="166"/>
      <c r="V3" s="166"/>
      <c r="W3" s="166"/>
      <c r="X3" s="166"/>
    </row>
    <row r="4" spans="1:24" ht="18">
      <c r="A4" s="4"/>
      <c r="B4" s="5"/>
      <c r="C4" s="142" t="s">
        <v>5</v>
      </c>
      <c r="D4" s="137"/>
      <c r="E4" s="137"/>
      <c r="F4" s="137" t="s">
        <v>6</v>
      </c>
      <c r="G4" s="137"/>
      <c r="H4" s="137"/>
      <c r="I4" s="137" t="s">
        <v>7</v>
      </c>
      <c r="J4" s="137"/>
      <c r="K4" s="137"/>
      <c r="L4" s="137" t="s">
        <v>8</v>
      </c>
      <c r="M4" s="138"/>
      <c r="N4" s="44" t="s">
        <v>8</v>
      </c>
      <c r="O4" s="142" t="s">
        <v>9</v>
      </c>
      <c r="P4" s="137"/>
      <c r="Q4" s="137" t="s">
        <v>10</v>
      </c>
      <c r="R4" s="138"/>
      <c r="S4" s="165" t="s">
        <v>196</v>
      </c>
      <c r="T4" s="166"/>
      <c r="U4" s="167" t="s">
        <v>198</v>
      </c>
      <c r="V4" s="166"/>
      <c r="W4" s="166"/>
      <c r="X4" s="166"/>
    </row>
    <row r="5" spans="1:24" ht="18">
      <c r="A5" s="4" t="s">
        <v>11</v>
      </c>
      <c r="B5" s="5" t="s">
        <v>12</v>
      </c>
      <c r="C5" s="142" t="s">
        <v>13</v>
      </c>
      <c r="D5" s="137"/>
      <c r="E5" s="137"/>
      <c r="F5" s="137" t="s">
        <v>13</v>
      </c>
      <c r="G5" s="137"/>
      <c r="H5" s="137"/>
      <c r="I5" s="137" t="s">
        <v>13</v>
      </c>
      <c r="J5" s="137"/>
      <c r="K5" s="137"/>
      <c r="L5" s="137" t="s">
        <v>13</v>
      </c>
      <c r="M5" s="138"/>
      <c r="N5" s="44" t="s">
        <v>14</v>
      </c>
      <c r="O5" s="142" t="s">
        <v>15</v>
      </c>
      <c r="P5" s="137"/>
      <c r="Q5" s="137" t="s">
        <v>16</v>
      </c>
      <c r="R5" s="138"/>
      <c r="S5" s="168" t="s">
        <v>197</v>
      </c>
      <c r="T5" s="166"/>
      <c r="U5" s="167"/>
      <c r="V5" s="166"/>
      <c r="W5" s="166" t="s">
        <v>202</v>
      </c>
      <c r="X5" s="166"/>
    </row>
    <row r="6" spans="1:24" ht="18">
      <c r="A6" s="94" t="s">
        <v>17</v>
      </c>
      <c r="B6" s="99" t="s">
        <v>18</v>
      </c>
      <c r="C6" s="83" t="s">
        <v>19</v>
      </c>
      <c r="D6" s="84" t="s">
        <v>20</v>
      </c>
      <c r="E6" s="84" t="s">
        <v>21</v>
      </c>
      <c r="F6" s="84" t="s">
        <v>19</v>
      </c>
      <c r="G6" s="84" t="s">
        <v>20</v>
      </c>
      <c r="H6" s="84" t="s">
        <v>21</v>
      </c>
      <c r="I6" s="84" t="s">
        <v>19</v>
      </c>
      <c r="J6" s="84" t="s">
        <v>20</v>
      </c>
      <c r="K6" s="84" t="s">
        <v>21</v>
      </c>
      <c r="L6" s="84" t="s">
        <v>22</v>
      </c>
      <c r="M6" s="86" t="s">
        <v>20</v>
      </c>
      <c r="N6" s="93" t="s">
        <v>19</v>
      </c>
      <c r="O6" s="83" t="s">
        <v>19</v>
      </c>
      <c r="P6" s="84" t="s">
        <v>23</v>
      </c>
      <c r="Q6" s="84" t="s">
        <v>19</v>
      </c>
      <c r="R6" s="92" t="s">
        <v>23</v>
      </c>
      <c r="S6" s="168" t="s">
        <v>195</v>
      </c>
      <c r="T6" s="167" t="s">
        <v>201</v>
      </c>
      <c r="U6" s="167"/>
      <c r="V6" s="166"/>
      <c r="W6" s="166" t="s">
        <v>19</v>
      </c>
      <c r="X6" s="166" t="s">
        <v>203</v>
      </c>
    </row>
    <row r="7" spans="1:24" ht="18">
      <c r="A7" s="4">
        <v>5</v>
      </c>
      <c r="B7" s="23" t="s">
        <v>24</v>
      </c>
      <c r="C7" s="100">
        <v>1.353643669171229</v>
      </c>
      <c r="D7" s="27">
        <v>0.17308556801678812</v>
      </c>
      <c r="E7" s="6">
        <v>18</v>
      </c>
      <c r="F7" s="7">
        <v>1.3108620658839814</v>
      </c>
      <c r="G7" s="27">
        <v>0.1555003219640772</v>
      </c>
      <c r="H7" s="6">
        <v>21</v>
      </c>
      <c r="I7" s="7">
        <v>1.4570312904489848</v>
      </c>
      <c r="J7" s="27">
        <v>8.7589337367612236E-2</v>
      </c>
      <c r="K7" s="6">
        <v>19</v>
      </c>
      <c r="L7" s="27">
        <v>1.3720221370202834</v>
      </c>
      <c r="M7" s="101">
        <v>0.15406386961479202</v>
      </c>
      <c r="N7" s="45">
        <v>2.2232237017241374</v>
      </c>
      <c r="O7" s="104">
        <v>324.28512743693466</v>
      </c>
      <c r="P7" s="105">
        <v>79.778754478731855</v>
      </c>
      <c r="Q7" s="106">
        <v>220.633757</v>
      </c>
      <c r="R7" s="107">
        <v>120.380892200912</v>
      </c>
      <c r="S7" s="169">
        <f>Q7/O7</f>
        <v>0.68036964489809282</v>
      </c>
      <c r="T7" s="170">
        <f>((((R7/Q7)^2+(P7/O7)^2))^0.5)*S7</f>
        <v>0.40721004951552892</v>
      </c>
      <c r="U7" s="170"/>
      <c r="V7" s="170"/>
      <c r="W7" s="170">
        <f>AVERAGE(S7:S19)</f>
        <v>0.70705883039729356</v>
      </c>
      <c r="X7" s="170">
        <f>STDEV(S7:S19)</f>
        <v>9.165258112147355E-2</v>
      </c>
    </row>
    <row r="8" spans="1:24" ht="18">
      <c r="A8" s="4">
        <v>20</v>
      </c>
      <c r="B8" s="23" t="s">
        <v>25</v>
      </c>
      <c r="C8" s="58">
        <v>1.3676850128358149</v>
      </c>
      <c r="D8" s="27">
        <v>0.11898430315830433</v>
      </c>
      <c r="E8" s="6">
        <v>17</v>
      </c>
      <c r="F8" s="7">
        <v>1.3437553647396929</v>
      </c>
      <c r="G8" s="27">
        <v>0.13986774734564306</v>
      </c>
      <c r="H8" s="6">
        <v>21</v>
      </c>
      <c r="I8" s="7">
        <v>1.503079802429347</v>
      </c>
      <c r="J8" s="27">
        <v>0.12565635114089865</v>
      </c>
      <c r="K8" s="6">
        <v>16</v>
      </c>
      <c r="L8" s="27">
        <v>1.3984960132705919</v>
      </c>
      <c r="M8" s="101">
        <v>0.14463283113764325</v>
      </c>
      <c r="N8" s="45">
        <v>2.2235081022222221</v>
      </c>
      <c r="O8" s="79">
        <v>666.38500532806449</v>
      </c>
      <c r="P8" s="97">
        <v>144.75211650782271</v>
      </c>
      <c r="Q8" s="98">
        <v>445.27710500000001</v>
      </c>
      <c r="R8" s="50">
        <v>195.48947237663799</v>
      </c>
      <c r="S8" s="169">
        <f t="shared" ref="S8:S19" si="0">Q8/O8</f>
        <v>0.66819796580024782</v>
      </c>
      <c r="T8" s="170">
        <f t="shared" ref="T8:T19" si="1">((((R8/Q8)^2+(P8/O8)^2))^0.5)*S8</f>
        <v>0.32730161093193327</v>
      </c>
      <c r="U8" s="166"/>
      <c r="V8" s="170"/>
      <c r="W8" s="170"/>
      <c r="X8" s="166"/>
    </row>
    <row r="9" spans="1:24" ht="18">
      <c r="A9" s="4">
        <v>35</v>
      </c>
      <c r="B9" s="23" t="s">
        <v>26</v>
      </c>
      <c r="C9" s="58">
        <v>1.4252616308160206</v>
      </c>
      <c r="D9" s="27">
        <v>0.14003798276918653</v>
      </c>
      <c r="E9" s="6">
        <v>14</v>
      </c>
      <c r="F9" s="7">
        <v>1.4121391426070558</v>
      </c>
      <c r="G9" s="27">
        <v>0.15644353955326626</v>
      </c>
      <c r="H9" s="6">
        <v>22</v>
      </c>
      <c r="I9" s="7">
        <v>1.5713849376612421</v>
      </c>
      <c r="J9" s="27">
        <v>0.1260828121306084</v>
      </c>
      <c r="K9" s="6">
        <v>23</v>
      </c>
      <c r="L9" s="27">
        <v>1.4773318226269161</v>
      </c>
      <c r="M9" s="101">
        <v>0.15830751523079764</v>
      </c>
      <c r="N9" s="45">
        <v>2.2311265688135582</v>
      </c>
      <c r="O9" s="79">
        <v>963.55631195930596</v>
      </c>
      <c r="P9" s="97">
        <v>181.42333429932873</v>
      </c>
      <c r="Q9" s="98">
        <v>636.931647</v>
      </c>
      <c r="R9" s="50">
        <v>253.51538065850301</v>
      </c>
      <c r="S9" s="169">
        <f t="shared" si="0"/>
        <v>0.66102171621382066</v>
      </c>
      <c r="T9" s="170">
        <f t="shared" si="1"/>
        <v>0.2910568178580954</v>
      </c>
      <c r="U9" s="166"/>
      <c r="V9" s="170"/>
      <c r="W9" s="170"/>
      <c r="X9" s="166"/>
    </row>
    <row r="10" spans="1:24" ht="18">
      <c r="A10" s="4">
        <v>50</v>
      </c>
      <c r="B10" s="23" t="s">
        <v>27</v>
      </c>
      <c r="C10" s="58">
        <v>1.6308441401080245</v>
      </c>
      <c r="D10" s="27">
        <v>0.1534415953825824</v>
      </c>
      <c r="E10" s="6">
        <v>18</v>
      </c>
      <c r="F10" s="7">
        <v>1.6052969415622313</v>
      </c>
      <c r="G10" s="27">
        <v>0.19704195736517552</v>
      </c>
      <c r="H10" s="6">
        <v>21</v>
      </c>
      <c r="I10" s="7">
        <v>1.7336990130072207</v>
      </c>
      <c r="J10" s="27">
        <v>0.13461987905475029</v>
      </c>
      <c r="K10" s="6">
        <v>19</v>
      </c>
      <c r="L10" s="27">
        <v>1.6552881300325599</v>
      </c>
      <c r="M10" s="101">
        <v>0.17183340996164698</v>
      </c>
      <c r="N10" s="45">
        <v>2.2390775927586217</v>
      </c>
      <c r="O10" s="79">
        <v>1276.25204537838</v>
      </c>
      <c r="P10" s="97">
        <v>201.2791199638184</v>
      </c>
      <c r="Q10" s="98">
        <v>789.47039500000005</v>
      </c>
      <c r="R10" s="50">
        <v>307.33118895015099</v>
      </c>
      <c r="S10" s="169">
        <f t="shared" si="0"/>
        <v>0.61858501842082447</v>
      </c>
      <c r="T10" s="170">
        <f t="shared" si="1"/>
        <v>0.25981880045981642</v>
      </c>
      <c r="U10" s="166"/>
      <c r="V10" s="170"/>
      <c r="W10" s="170"/>
      <c r="X10" s="166"/>
    </row>
    <row r="11" spans="1:24" ht="18">
      <c r="A11" s="4">
        <v>65</v>
      </c>
      <c r="B11" s="23" t="s">
        <v>28</v>
      </c>
      <c r="C11" s="58">
        <v>1.8512712873412225</v>
      </c>
      <c r="D11" s="27">
        <v>0.2336198136296718</v>
      </c>
      <c r="E11" s="6">
        <v>12</v>
      </c>
      <c r="F11" s="7">
        <v>1.9138562194314237</v>
      </c>
      <c r="G11" s="27">
        <v>0.22477479580752877</v>
      </c>
      <c r="H11" s="6">
        <v>14</v>
      </c>
      <c r="I11" s="7">
        <v>1.8982122265375576</v>
      </c>
      <c r="J11" s="27">
        <v>0.16915174833684199</v>
      </c>
      <c r="K11" s="6">
        <v>17</v>
      </c>
      <c r="L11" s="27">
        <v>1.8902058225877456</v>
      </c>
      <c r="M11" s="101">
        <v>0.2036615379418161</v>
      </c>
      <c r="N11" s="45">
        <v>2.2417400999999995</v>
      </c>
      <c r="O11" s="79">
        <v>1406.6319531648462</v>
      </c>
      <c r="P11" s="97">
        <v>254.03086443885272</v>
      </c>
      <c r="Q11" s="98">
        <v>907.80631000000005</v>
      </c>
      <c r="R11" s="50">
        <v>386.19867912566599</v>
      </c>
      <c r="S11" s="169">
        <f t="shared" si="0"/>
        <v>0.64537586250439194</v>
      </c>
      <c r="T11" s="170">
        <f t="shared" si="1"/>
        <v>0.29827015114887434</v>
      </c>
      <c r="U11" s="166"/>
      <c r="V11" s="170"/>
      <c r="W11" s="170"/>
      <c r="X11" s="166"/>
    </row>
    <row r="12" spans="1:24" ht="18">
      <c r="A12" s="135">
        <v>80</v>
      </c>
      <c r="B12" s="30" t="s">
        <v>29</v>
      </c>
      <c r="C12" s="100">
        <v>2.1322696914969086</v>
      </c>
      <c r="D12" s="27">
        <v>0.2113092761946774</v>
      </c>
      <c r="E12" s="6">
        <v>17</v>
      </c>
      <c r="F12" s="27">
        <v>2.1202179135493529</v>
      </c>
      <c r="G12" s="27">
        <v>0.18728534244725287</v>
      </c>
      <c r="H12" s="6">
        <v>21</v>
      </c>
      <c r="I12" s="27">
        <v>2.1062617366442224</v>
      </c>
      <c r="J12" s="27">
        <v>0.17231946641177176</v>
      </c>
      <c r="K12" s="6">
        <v>21</v>
      </c>
      <c r="L12" s="27">
        <v>2.1187230069408902</v>
      </c>
      <c r="M12" s="101">
        <v>0.18644816773605388</v>
      </c>
      <c r="N12" s="45">
        <v>2.2452970830508483</v>
      </c>
      <c r="O12" s="79">
        <v>1443.900066790857</v>
      </c>
      <c r="P12" s="97">
        <v>278.8807528222992</v>
      </c>
      <c r="Q12" s="98">
        <v>997.01105199999995</v>
      </c>
      <c r="R12" s="50">
        <v>468.83686671169198</v>
      </c>
      <c r="S12" s="169">
        <f t="shared" si="0"/>
        <v>0.6904986535639609</v>
      </c>
      <c r="T12" s="170">
        <f t="shared" si="1"/>
        <v>0.35102370103949115</v>
      </c>
      <c r="U12" s="166"/>
      <c r="V12" s="170"/>
      <c r="W12" s="170"/>
      <c r="X12" s="166"/>
    </row>
    <row r="13" spans="1:24" ht="18">
      <c r="A13" s="4">
        <v>100</v>
      </c>
      <c r="B13" s="23" t="s">
        <v>30</v>
      </c>
      <c r="C13" s="58">
        <v>2.2637891901345704</v>
      </c>
      <c r="D13" s="27">
        <v>0.23908841546311965</v>
      </c>
      <c r="E13" s="6">
        <v>20</v>
      </c>
      <c r="F13" s="7">
        <v>2.2076711072487627</v>
      </c>
      <c r="G13" s="27">
        <v>0.14996310714598185</v>
      </c>
      <c r="H13" s="6">
        <v>23</v>
      </c>
      <c r="I13" s="7">
        <v>2.2434775578727972</v>
      </c>
      <c r="J13" s="27">
        <v>0.13406203763115859</v>
      </c>
      <c r="K13" s="6">
        <v>20</v>
      </c>
      <c r="L13" s="27">
        <v>2.2368534988391886</v>
      </c>
      <c r="M13" s="101">
        <v>0.17767830261290055</v>
      </c>
      <c r="N13" s="45">
        <v>2.2601034304761916</v>
      </c>
      <c r="O13" s="79">
        <v>1451.795325350671</v>
      </c>
      <c r="P13" s="97">
        <v>304.09215662617345</v>
      </c>
      <c r="Q13" s="98">
        <v>1023.680534</v>
      </c>
      <c r="R13" s="50">
        <v>545.29784212981804</v>
      </c>
      <c r="S13" s="169">
        <f t="shared" si="0"/>
        <v>0.70511353503134966</v>
      </c>
      <c r="T13" s="170">
        <f t="shared" si="1"/>
        <v>0.40359670274798032</v>
      </c>
      <c r="U13" s="166">
        <v>100</v>
      </c>
      <c r="V13" s="170"/>
      <c r="W13" s="170"/>
      <c r="X13" s="166"/>
    </row>
    <row r="14" spans="1:24" ht="18">
      <c r="A14" s="4">
        <v>120</v>
      </c>
      <c r="B14" s="23" t="s">
        <v>31</v>
      </c>
      <c r="C14" s="58">
        <v>2.3781853218048257</v>
      </c>
      <c r="D14" s="27">
        <v>0.2070275050520915</v>
      </c>
      <c r="E14" s="6">
        <v>34</v>
      </c>
      <c r="F14" s="7">
        <v>2.3300542267622775</v>
      </c>
      <c r="G14" s="27">
        <v>0.18748341323602144</v>
      </c>
      <c r="H14" s="6">
        <v>40</v>
      </c>
      <c r="I14" s="7">
        <v>2.3426177132321717</v>
      </c>
      <c r="J14" s="27">
        <v>0.18348688181753703</v>
      </c>
      <c r="K14" s="6">
        <v>41</v>
      </c>
      <c r="L14" s="27">
        <v>2.3487634456902104</v>
      </c>
      <c r="M14" s="101">
        <v>0.19141493844660643</v>
      </c>
      <c r="N14" s="45">
        <v>2.2929019335652172</v>
      </c>
      <c r="O14" s="79">
        <v>1427.7807214518391</v>
      </c>
      <c r="P14" s="97">
        <v>365.13156087342304</v>
      </c>
      <c r="Q14" s="98">
        <v>1025.6914039999999</v>
      </c>
      <c r="R14" s="50">
        <v>672.39601170876495</v>
      </c>
      <c r="S14" s="169">
        <f t="shared" si="0"/>
        <v>0.71838160341388091</v>
      </c>
      <c r="T14" s="170">
        <f t="shared" si="1"/>
        <v>0.50550315222201725</v>
      </c>
      <c r="U14" s="166"/>
      <c r="V14" s="170"/>
      <c r="W14" s="170"/>
      <c r="X14" s="166"/>
    </row>
    <row r="15" spans="1:24" ht="18">
      <c r="A15" s="4">
        <v>150</v>
      </c>
      <c r="B15" s="23" t="s">
        <v>32</v>
      </c>
      <c r="C15" s="58">
        <v>2.3737987809786874</v>
      </c>
      <c r="D15" s="27">
        <v>0.18152238638080589</v>
      </c>
      <c r="E15" s="6">
        <v>18</v>
      </c>
      <c r="F15" s="7">
        <v>2.316432126503194</v>
      </c>
      <c r="G15" s="27">
        <v>9.9569826656045163E-2</v>
      </c>
      <c r="H15" s="6">
        <v>22</v>
      </c>
      <c r="I15" s="7">
        <v>2.3841901051395693</v>
      </c>
      <c r="J15" s="27">
        <v>0.15456893433309399</v>
      </c>
      <c r="K15" s="6">
        <v>20</v>
      </c>
      <c r="L15" s="27">
        <v>2.3562281157246341</v>
      </c>
      <c r="M15" s="101">
        <v>0.14719579600506855</v>
      </c>
      <c r="N15" s="45">
        <v>2.3258875570000002</v>
      </c>
      <c r="O15" s="79">
        <v>1384.2240747287906</v>
      </c>
      <c r="P15" s="97">
        <v>422.3060141282715</v>
      </c>
      <c r="Q15" s="98">
        <v>940.82724099999996</v>
      </c>
      <c r="R15" s="50">
        <v>860.56447179393695</v>
      </c>
      <c r="S15" s="169">
        <f t="shared" si="0"/>
        <v>0.67967842647465526</v>
      </c>
      <c r="T15" s="170">
        <f t="shared" si="1"/>
        <v>0.65536407899423288</v>
      </c>
      <c r="U15" s="166">
        <v>150</v>
      </c>
      <c r="V15" s="170"/>
      <c r="W15" s="170"/>
      <c r="X15" s="166"/>
    </row>
    <row r="16" spans="1:24" ht="18">
      <c r="A16" s="4">
        <v>200</v>
      </c>
      <c r="B16" s="23" t="s">
        <v>33</v>
      </c>
      <c r="C16" s="58">
        <v>2.3356006192890724</v>
      </c>
      <c r="D16" s="27">
        <v>0.17064713897941353</v>
      </c>
      <c r="E16" s="6">
        <v>22</v>
      </c>
      <c r="F16" s="7">
        <v>2.3759349658993409</v>
      </c>
      <c r="G16" s="27">
        <v>0.19025009604526391</v>
      </c>
      <c r="H16" s="6">
        <v>23</v>
      </c>
      <c r="I16" s="7">
        <v>2.3719580809635752</v>
      </c>
      <c r="J16" s="27">
        <v>0.17202147203339044</v>
      </c>
      <c r="K16" s="6">
        <v>22</v>
      </c>
      <c r="L16" s="27">
        <v>2.3613850092722855</v>
      </c>
      <c r="M16" s="101">
        <v>0.17629157749245694</v>
      </c>
      <c r="N16" s="45">
        <v>2.336439139701493</v>
      </c>
      <c r="O16" s="79">
        <v>1283.4488724829916</v>
      </c>
      <c r="P16" s="97">
        <v>584.69946984598528</v>
      </c>
      <c r="Q16" s="98">
        <v>774.13297899999998</v>
      </c>
      <c r="R16" s="50">
        <v>1262.99167698213</v>
      </c>
      <c r="S16" s="169">
        <f t="shared" si="0"/>
        <v>0.60316619975857966</v>
      </c>
      <c r="T16" s="170">
        <f t="shared" si="1"/>
        <v>1.0217053009338419</v>
      </c>
      <c r="U16" s="166">
        <v>200</v>
      </c>
      <c r="V16" s="170"/>
      <c r="W16" s="170"/>
      <c r="X16" s="166"/>
    </row>
    <row r="17" spans="1:24" ht="18">
      <c r="A17" s="4">
        <v>280</v>
      </c>
      <c r="B17" s="23" t="s">
        <v>34</v>
      </c>
      <c r="C17" s="58">
        <v>2.3848653222223897</v>
      </c>
      <c r="D17" s="27">
        <v>9.4154855162251042E-2</v>
      </c>
      <c r="E17" s="6">
        <v>14</v>
      </c>
      <c r="F17" s="7">
        <v>2.3585870040968575</v>
      </c>
      <c r="G17" s="27">
        <v>0.28757882648659849</v>
      </c>
      <c r="H17" s="6">
        <v>6</v>
      </c>
      <c r="I17" s="7">
        <v>2.2983178387769647</v>
      </c>
      <c r="J17" s="27">
        <v>0.10754061023129666</v>
      </c>
      <c r="K17" s="6">
        <v>6</v>
      </c>
      <c r="L17" s="27">
        <v>2.3588285987829383</v>
      </c>
      <c r="M17" s="101">
        <v>0.15723104215532022</v>
      </c>
      <c r="N17" s="45">
        <v>2.3448227907692307</v>
      </c>
      <c r="O17" s="79">
        <v>1191.7697268807699</v>
      </c>
      <c r="P17" s="97">
        <v>447.09221053510248</v>
      </c>
      <c r="Q17" s="98">
        <v>1099.654706</v>
      </c>
      <c r="R17" s="50">
        <v>1382.03379480388</v>
      </c>
      <c r="S17" s="169">
        <f t="shared" si="0"/>
        <v>0.92270736636190331</v>
      </c>
      <c r="T17" s="170">
        <f t="shared" si="1"/>
        <v>1.2102092977475083</v>
      </c>
      <c r="U17" s="166"/>
      <c r="V17" s="170"/>
      <c r="W17" s="170"/>
      <c r="X17" s="166"/>
    </row>
    <row r="18" spans="1:24" ht="18">
      <c r="A18" s="4">
        <v>330</v>
      </c>
      <c r="B18" s="23" t="s">
        <v>35</v>
      </c>
      <c r="C18" s="58">
        <v>2.3394136220880348</v>
      </c>
      <c r="D18" s="27">
        <v>0.14626751384960501</v>
      </c>
      <c r="E18" s="6">
        <v>17</v>
      </c>
      <c r="F18" s="7">
        <v>2.2833332731906486</v>
      </c>
      <c r="G18" s="27">
        <v>0.13566584345774138</v>
      </c>
      <c r="H18" s="6">
        <v>21</v>
      </c>
      <c r="I18" s="7">
        <v>2.3222698481801047</v>
      </c>
      <c r="J18" s="27">
        <v>0.15485979237861258</v>
      </c>
      <c r="K18" s="6">
        <v>20</v>
      </c>
      <c r="L18" s="27">
        <v>2.3131970220017637</v>
      </c>
      <c r="M18" s="101">
        <v>0.14498156270283516</v>
      </c>
      <c r="N18" s="45">
        <v>2.3508203668965524</v>
      </c>
      <c r="O18" s="79">
        <v>1463.5198513604157</v>
      </c>
      <c r="P18" s="97">
        <v>885.47228519126531</v>
      </c>
      <c r="Q18" s="98">
        <v>1269.879535</v>
      </c>
      <c r="R18" s="50">
        <v>1960.98568068041</v>
      </c>
      <c r="S18" s="169">
        <f t="shared" si="0"/>
        <v>0.86768863013342989</v>
      </c>
      <c r="T18" s="170">
        <f t="shared" si="1"/>
        <v>1.4390834229068921</v>
      </c>
      <c r="U18" s="166">
        <v>330</v>
      </c>
      <c r="V18" s="170"/>
      <c r="W18" s="170"/>
      <c r="X18" s="166"/>
    </row>
    <row r="19" spans="1:24" ht="18">
      <c r="A19" s="8">
        <v>500</v>
      </c>
      <c r="B19" s="32" t="s">
        <v>36</v>
      </c>
      <c r="C19" s="60">
        <v>2.3468829481513831</v>
      </c>
      <c r="D19" s="29">
        <v>0.17478036763083826</v>
      </c>
      <c r="E19" s="10">
        <v>12</v>
      </c>
      <c r="F19" s="9">
        <v>2.3539139181172004</v>
      </c>
      <c r="G19" s="29">
        <v>0.17846665988276747</v>
      </c>
      <c r="H19" s="10">
        <v>14</v>
      </c>
      <c r="I19" s="9">
        <v>2.3793238454504424</v>
      </c>
      <c r="J19" s="29">
        <v>0.2153871399820072</v>
      </c>
      <c r="K19" s="10">
        <v>13</v>
      </c>
      <c r="L19" s="29">
        <v>2.3602205185208502</v>
      </c>
      <c r="M19" s="102">
        <v>0.18596969308983513</v>
      </c>
      <c r="N19" s="46">
        <v>2.3643284892307697</v>
      </c>
      <c r="O19" s="80">
        <v>1527.0937254635994</v>
      </c>
      <c r="P19" s="108">
        <v>1118.6494988650195</v>
      </c>
      <c r="Q19" s="109">
        <v>1116.2752350000001</v>
      </c>
      <c r="R19" s="51">
        <v>2437.2581741164199</v>
      </c>
      <c r="S19" s="169">
        <f t="shared" si="0"/>
        <v>0.73098017258968051</v>
      </c>
      <c r="T19" s="170">
        <f t="shared" si="1"/>
        <v>1.6834420691678897</v>
      </c>
      <c r="U19" s="166">
        <v>500</v>
      </c>
      <c r="V19" s="170"/>
      <c r="W19" s="170"/>
      <c r="X19" s="166"/>
    </row>
    <row r="20" spans="1:24">
      <c r="A20" s="2" t="s">
        <v>37</v>
      </c>
      <c r="S20" s="162" t="s">
        <v>199</v>
      </c>
    </row>
    <row r="21" spans="1:24" ht="16.2">
      <c r="A21" s="31" t="s">
        <v>38</v>
      </c>
      <c r="S21" s="162" t="s">
        <v>200</v>
      </c>
    </row>
    <row r="22" spans="1:24" ht="18">
      <c r="A22" s="31" t="s">
        <v>39</v>
      </c>
      <c r="S22" s="164" t="s">
        <v>204</v>
      </c>
    </row>
    <row r="23" spans="1:24" ht="18">
      <c r="A23" s="124" t="s">
        <v>40</v>
      </c>
      <c r="S23" s="49"/>
    </row>
    <row r="24" spans="1:24" ht="18">
      <c r="A24" s="81" t="s">
        <v>41</v>
      </c>
      <c r="S24" s="49"/>
    </row>
    <row r="25" spans="1:24" ht="18">
      <c r="A25" s="123" t="s">
        <v>42</v>
      </c>
      <c r="R25" s="48"/>
      <c r="S25" s="49"/>
      <c r="T25" s="3"/>
    </row>
    <row r="26" spans="1:24" ht="18">
      <c r="S26" s="49"/>
    </row>
    <row r="27" spans="1:24" ht="18">
      <c r="A27" s="39"/>
      <c r="S27" s="49"/>
    </row>
    <row r="28" spans="1:24" ht="18">
      <c r="A28" s="35"/>
      <c r="B28" s="5"/>
      <c r="C28" s="35"/>
      <c r="F28" s="3"/>
      <c r="I28" s="3"/>
      <c r="K28" s="3"/>
      <c r="L28" s="72"/>
      <c r="M28" s="72"/>
      <c r="N28" s="3"/>
      <c r="R28" s="48"/>
      <c r="S28" s="49"/>
      <c r="T28" s="3"/>
    </row>
    <row r="29" spans="1:24" ht="18">
      <c r="A29" s="35"/>
      <c r="B29" s="5"/>
      <c r="C29" s="35"/>
      <c r="F29" s="3"/>
      <c r="I29" s="3"/>
      <c r="K29" s="3"/>
      <c r="L29" s="72"/>
      <c r="M29" s="72"/>
      <c r="N29" s="3"/>
      <c r="R29" s="48"/>
      <c r="S29" s="49"/>
      <c r="T29" s="3"/>
    </row>
    <row r="30" spans="1:24" ht="18">
      <c r="A30" s="35"/>
      <c r="B30" s="5"/>
      <c r="C30" s="35"/>
      <c r="F30" s="3"/>
      <c r="I30" s="3"/>
      <c r="K30" s="3"/>
      <c r="L30" s="72"/>
      <c r="M30" s="72"/>
      <c r="N30" s="3"/>
      <c r="R30" s="48"/>
      <c r="S30" s="49"/>
      <c r="T30" s="3"/>
    </row>
    <row r="31" spans="1:24" ht="18">
      <c r="A31" s="35"/>
      <c r="B31" s="132"/>
      <c r="C31" s="35"/>
      <c r="F31" s="3"/>
      <c r="I31" s="3"/>
      <c r="K31" s="3"/>
      <c r="L31" s="72"/>
      <c r="M31" s="72"/>
      <c r="N31" s="3"/>
      <c r="R31" s="48"/>
      <c r="S31" s="49"/>
      <c r="T31" s="3"/>
    </row>
    <row r="32" spans="1:24" ht="18">
      <c r="A32" s="35"/>
      <c r="B32" s="5"/>
      <c r="C32" s="35"/>
      <c r="F32" s="3"/>
      <c r="I32" s="3"/>
      <c r="K32" s="3"/>
      <c r="L32" s="72"/>
      <c r="M32" s="72"/>
      <c r="N32" s="3"/>
      <c r="R32" s="48"/>
      <c r="S32" s="49"/>
      <c r="T32" s="3"/>
    </row>
    <row r="33" spans="1:20" ht="18">
      <c r="A33" s="35"/>
      <c r="B33" s="5"/>
      <c r="C33" s="35"/>
      <c r="F33" s="3"/>
      <c r="I33" s="3"/>
      <c r="K33" s="3"/>
      <c r="L33" s="72"/>
      <c r="M33" s="72"/>
      <c r="N33" s="3"/>
      <c r="R33" s="48"/>
      <c r="S33" s="49"/>
      <c r="T33" s="3"/>
    </row>
    <row r="34" spans="1:20" ht="18">
      <c r="A34" s="35"/>
      <c r="B34" s="5"/>
      <c r="C34" s="36"/>
      <c r="F34" s="3"/>
      <c r="I34" s="3"/>
      <c r="K34" s="3"/>
      <c r="L34" s="72"/>
      <c r="M34" s="72"/>
      <c r="N34" s="3"/>
      <c r="R34" s="48"/>
      <c r="T34" s="3"/>
    </row>
    <row r="35" spans="1:20" ht="18">
      <c r="A35" s="35"/>
      <c r="B35" s="5"/>
      <c r="C35" s="36"/>
      <c r="F35" s="3"/>
      <c r="I35" s="3"/>
      <c r="K35" s="3"/>
      <c r="L35" s="72"/>
      <c r="M35" s="72"/>
      <c r="N35" s="3"/>
      <c r="R35" s="48"/>
      <c r="T35" s="3"/>
    </row>
    <row r="36" spans="1:20" ht="18">
      <c r="A36" s="35"/>
      <c r="B36" s="5"/>
      <c r="C36" s="36"/>
      <c r="F36" s="3"/>
      <c r="I36" s="3"/>
      <c r="K36" s="3"/>
      <c r="L36" s="72"/>
      <c r="M36" s="72"/>
      <c r="N36" s="3"/>
      <c r="R36" s="48"/>
      <c r="T36" s="3"/>
    </row>
    <row r="37" spans="1:20" ht="18">
      <c r="A37" s="35"/>
      <c r="B37" s="5"/>
      <c r="C37" s="36"/>
      <c r="F37" s="3"/>
      <c r="I37" s="3"/>
      <c r="K37" s="3"/>
      <c r="L37" s="72"/>
      <c r="M37" s="72"/>
      <c r="N37" s="3"/>
      <c r="R37" s="48"/>
      <c r="T37" s="3"/>
    </row>
    <row r="38" spans="1:20" ht="18">
      <c r="A38" s="35"/>
      <c r="B38" s="5"/>
      <c r="C38" s="36"/>
      <c r="F38" s="3"/>
      <c r="I38" s="3"/>
      <c r="K38" s="3"/>
      <c r="L38" s="72"/>
      <c r="M38" s="72"/>
      <c r="N38" s="3"/>
    </row>
    <row r="39" spans="1:20" ht="18">
      <c r="A39" s="35"/>
      <c r="B39" s="55"/>
      <c r="C39" s="36"/>
      <c r="K39" s="3"/>
      <c r="L39" s="72"/>
      <c r="M39" s="72"/>
      <c r="N39" s="3"/>
    </row>
    <row r="40" spans="1:20" ht="18">
      <c r="A40" s="35"/>
      <c r="B40" s="55"/>
      <c r="C40" s="36"/>
      <c r="K40" s="3"/>
      <c r="L40" s="72"/>
      <c r="M40" s="72"/>
      <c r="N40" s="3"/>
    </row>
    <row r="41" spans="1:20" ht="18">
      <c r="C41" s="3"/>
      <c r="N41" s="3"/>
    </row>
    <row r="42" spans="1:20" ht="18">
      <c r="C42" s="3"/>
    </row>
    <row r="43" spans="1:20" ht="18">
      <c r="C43" s="3"/>
    </row>
    <row r="44" spans="1:20" ht="18">
      <c r="C44" s="3"/>
    </row>
    <row r="45" spans="1:20" ht="18">
      <c r="C45" s="3"/>
    </row>
    <row r="46" spans="1:20" ht="18">
      <c r="C46" s="3"/>
    </row>
  </sheetData>
  <mergeCells count="14">
    <mergeCell ref="Q4:R4"/>
    <mergeCell ref="Q5:R5"/>
    <mergeCell ref="C3:K3"/>
    <mergeCell ref="O3:R3"/>
    <mergeCell ref="C4:E4"/>
    <mergeCell ref="F4:H4"/>
    <mergeCell ref="I4:K4"/>
    <mergeCell ref="L4:M4"/>
    <mergeCell ref="L5:M5"/>
    <mergeCell ref="C5:E5"/>
    <mergeCell ref="F5:H5"/>
    <mergeCell ref="I5:K5"/>
    <mergeCell ref="O4:P4"/>
    <mergeCell ref="O5:P5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3"/>
  <sheetViews>
    <sheetView zoomScaleNormal="100" workbookViewId="0">
      <selection activeCell="A18" sqref="A18"/>
    </sheetView>
  </sheetViews>
  <sheetFormatPr defaultColWidth="8.88671875" defaultRowHeight="14.4"/>
  <cols>
    <col min="3" max="3" width="8.88671875" style="74"/>
    <col min="5" max="5" width="8.88671875" style="65"/>
    <col min="7" max="7" width="8.88671875" style="75"/>
  </cols>
  <sheetData>
    <row r="1" spans="1:9" ht="16.2">
      <c r="A1" s="2" t="s">
        <v>43</v>
      </c>
      <c r="B1" s="2" t="s">
        <v>44</v>
      </c>
      <c r="D1" s="2"/>
      <c r="F1" s="2"/>
      <c r="H1" s="2"/>
    </row>
    <row r="2" spans="1:9">
      <c r="A2" s="2"/>
      <c r="B2" s="2"/>
      <c r="D2" s="2"/>
      <c r="F2" s="2"/>
      <c r="H2" s="2"/>
    </row>
    <row r="3" spans="1:9" ht="16.2">
      <c r="A3" s="89"/>
      <c r="B3" s="143" t="s">
        <v>45</v>
      </c>
      <c r="C3" s="144"/>
      <c r="D3" s="144"/>
      <c r="E3" s="144"/>
      <c r="F3" s="144"/>
      <c r="G3" s="145"/>
      <c r="H3" s="2"/>
    </row>
    <row r="4" spans="1:9" ht="16.2">
      <c r="A4" s="4"/>
      <c r="B4" s="146" t="s">
        <v>46</v>
      </c>
      <c r="C4" s="147"/>
      <c r="D4" s="137" t="s">
        <v>47</v>
      </c>
      <c r="E4" s="137"/>
      <c r="F4" s="148" t="s">
        <v>48</v>
      </c>
      <c r="G4" s="149"/>
      <c r="H4" s="2"/>
    </row>
    <row r="5" spans="1:9">
      <c r="A5" s="94" t="s">
        <v>49</v>
      </c>
      <c r="B5" s="83" t="s">
        <v>19</v>
      </c>
      <c r="C5" s="103" t="s">
        <v>50</v>
      </c>
      <c r="D5" s="84" t="s">
        <v>19</v>
      </c>
      <c r="E5" s="103" t="s">
        <v>50</v>
      </c>
      <c r="F5" s="84" t="s">
        <v>19</v>
      </c>
      <c r="G5" s="85" t="s">
        <v>50</v>
      </c>
      <c r="H5" s="53"/>
      <c r="I5" s="54"/>
    </row>
    <row r="6" spans="1:9">
      <c r="A6" s="4">
        <v>50</v>
      </c>
      <c r="B6" s="110">
        <v>2.95134229135618</v>
      </c>
      <c r="C6" s="111">
        <v>0.46721057759650242</v>
      </c>
      <c r="D6" s="112">
        <v>5.3045246601367619</v>
      </c>
      <c r="E6" s="111">
        <v>1.8998610814664527</v>
      </c>
      <c r="F6" s="112">
        <v>2.1553316400605209</v>
      </c>
      <c r="G6" s="127">
        <v>0.36065658782441606</v>
      </c>
      <c r="H6" s="76"/>
      <c r="I6" s="76"/>
    </row>
    <row r="7" spans="1:9">
      <c r="A7" s="125">
        <v>65</v>
      </c>
      <c r="B7" s="77">
        <v>2.9135999999999997</v>
      </c>
      <c r="C7" s="113">
        <v>0.42685696799999989</v>
      </c>
      <c r="D7" s="114">
        <v>4.1983999999999995</v>
      </c>
      <c r="E7" s="113">
        <v>1.2575677439999999</v>
      </c>
      <c r="F7" s="115">
        <v>2.1387</v>
      </c>
      <c r="G7" s="128">
        <v>0.37770511350000002</v>
      </c>
      <c r="H7" s="53"/>
      <c r="I7" s="53"/>
    </row>
    <row r="8" spans="1:9">
      <c r="A8" s="126">
        <v>80</v>
      </c>
      <c r="B8" s="77">
        <v>2.8745999999999996</v>
      </c>
      <c r="C8" s="113">
        <v>0.38720861999999989</v>
      </c>
      <c r="D8" s="114">
        <v>3.0928999999999993</v>
      </c>
      <c r="E8" s="113">
        <v>0.74507960999999978</v>
      </c>
      <c r="F8" s="115">
        <v>2.1206999999999998</v>
      </c>
      <c r="G8" s="128">
        <v>0.39415330199999993</v>
      </c>
      <c r="H8" s="53"/>
      <c r="I8" s="53"/>
    </row>
    <row r="9" spans="1:9">
      <c r="A9" s="4">
        <v>100</v>
      </c>
      <c r="B9" s="11">
        <v>2.8201274524245501</v>
      </c>
      <c r="C9" s="67">
        <v>0.33544035472810629</v>
      </c>
      <c r="D9" s="7">
        <v>1.6201526648790547</v>
      </c>
      <c r="E9" s="67">
        <v>0.26358716273084681</v>
      </c>
      <c r="F9" s="7">
        <v>2.0939907004961746</v>
      </c>
      <c r="G9" s="129">
        <v>0.41496069550596687</v>
      </c>
      <c r="H9" s="76"/>
      <c r="I9" s="76"/>
    </row>
    <row r="10" spans="1:9">
      <c r="A10" s="125">
        <v>120</v>
      </c>
      <c r="B10" s="78">
        <v>2.4384000000000001</v>
      </c>
      <c r="C10" s="113">
        <v>0.31998391679999999</v>
      </c>
      <c r="D10" s="115">
        <v>1.4145000000000001</v>
      </c>
      <c r="E10" s="113">
        <v>0.28378547700000001</v>
      </c>
      <c r="F10" s="115">
        <v>1.9971999999999999</v>
      </c>
      <c r="G10" s="128">
        <v>0.44091385519999998</v>
      </c>
      <c r="H10" s="53"/>
      <c r="I10" s="53"/>
    </row>
    <row r="11" spans="1:9">
      <c r="A11" s="4">
        <v>150</v>
      </c>
      <c r="B11" s="11">
        <v>1.8530066548069823</v>
      </c>
      <c r="C11" s="67">
        <v>0.27729121651334965</v>
      </c>
      <c r="D11" s="7">
        <v>1.1169601976727355</v>
      </c>
      <c r="E11" s="67">
        <v>0.28766856890476489</v>
      </c>
      <c r="F11" s="7">
        <v>1.8483985382870203</v>
      </c>
      <c r="G11" s="129">
        <v>0.47061702834747582</v>
      </c>
      <c r="H11" s="76"/>
      <c r="I11" s="76"/>
    </row>
    <row r="12" spans="1:9">
      <c r="A12" s="4">
        <v>200</v>
      </c>
      <c r="B12" s="11">
        <v>1.2967227305240985</v>
      </c>
      <c r="C12" s="67">
        <v>0.2083467997953739</v>
      </c>
      <c r="D12" s="7">
        <v>1.0270630471020383</v>
      </c>
      <c r="E12" s="67">
        <v>6.00038648224544E-2</v>
      </c>
      <c r="F12" s="7">
        <v>2.1464335881017869</v>
      </c>
      <c r="G12" s="129">
        <v>0.38327465624092311</v>
      </c>
      <c r="H12" s="76"/>
      <c r="I12" s="76"/>
    </row>
    <row r="13" spans="1:9">
      <c r="A13" s="125">
        <v>280</v>
      </c>
      <c r="B13" s="78">
        <v>1.0308999999999999</v>
      </c>
      <c r="C13" s="113">
        <v>0.137274644</v>
      </c>
      <c r="D13" s="115">
        <v>0.96530000000000005</v>
      </c>
      <c r="E13" s="113">
        <v>0.11663140720000001</v>
      </c>
      <c r="F13" s="115">
        <v>2.3155999999999999</v>
      </c>
      <c r="G13" s="128">
        <v>0.64788635520000004</v>
      </c>
      <c r="H13" s="53"/>
      <c r="I13" s="53"/>
    </row>
    <row r="14" spans="1:9">
      <c r="A14" s="4">
        <v>330</v>
      </c>
      <c r="B14" s="11">
        <v>0.88711056805046473</v>
      </c>
      <c r="C14" s="67">
        <v>0.10285474804540835</v>
      </c>
      <c r="D14" s="7">
        <v>0.93978100734870584</v>
      </c>
      <c r="E14" s="67">
        <v>0.1503684181233878</v>
      </c>
      <c r="F14" s="7">
        <v>2.4368606384799483</v>
      </c>
      <c r="G14" s="129">
        <v>0.83583047201096972</v>
      </c>
      <c r="H14" s="76"/>
      <c r="I14" s="76"/>
    </row>
    <row r="15" spans="1:9">
      <c r="A15" s="8">
        <v>500</v>
      </c>
      <c r="B15" s="12">
        <v>0.8216713238827279</v>
      </c>
      <c r="C15" s="117">
        <v>9.7320993869816408E-2</v>
      </c>
      <c r="D15" s="9">
        <v>0.87680272990205399</v>
      </c>
      <c r="E15" s="117">
        <v>0.15828163628098546</v>
      </c>
      <c r="F15" s="9">
        <v>1.8273908791906832</v>
      </c>
      <c r="G15" s="130">
        <v>0.50584342096294777</v>
      </c>
      <c r="H15" s="76"/>
      <c r="I15" s="76"/>
    </row>
    <row r="16" spans="1:9">
      <c r="A16" s="2" t="s">
        <v>37</v>
      </c>
      <c r="B16" s="2"/>
      <c r="D16" s="2"/>
      <c r="F16" s="2"/>
      <c r="H16" s="2"/>
    </row>
    <row r="17" spans="1:8">
      <c r="A17" s="13" t="s">
        <v>51</v>
      </c>
      <c r="B17" s="2"/>
      <c r="D17" s="2"/>
      <c r="F17" s="2"/>
      <c r="H17" s="2"/>
    </row>
    <row r="18" spans="1:8" ht="16.2">
      <c r="A18" s="2" t="s">
        <v>52</v>
      </c>
      <c r="B18" s="2"/>
      <c r="D18" s="2"/>
      <c r="F18" s="2"/>
      <c r="H18" s="2"/>
    </row>
    <row r="19" spans="1:8">
      <c r="A19" s="2"/>
      <c r="B19" s="2"/>
      <c r="D19" s="2"/>
      <c r="F19" s="2"/>
      <c r="H19" s="2"/>
    </row>
    <row r="20" spans="1:8" ht="16.2">
      <c r="A20" s="14"/>
      <c r="B20" s="2"/>
      <c r="D20" s="2"/>
      <c r="F20" s="2"/>
      <c r="H20" s="2"/>
    </row>
    <row r="21" spans="1:8" ht="16.2">
      <c r="A21" s="14"/>
      <c r="B21" s="2"/>
      <c r="D21" s="2"/>
      <c r="F21" s="2"/>
      <c r="H21" s="2"/>
    </row>
    <row r="22" spans="1:8">
      <c r="A22" s="2"/>
      <c r="B22" s="2"/>
      <c r="D22" s="2"/>
      <c r="F22" s="2"/>
      <c r="H22" s="2"/>
    </row>
    <row r="23" spans="1:8">
      <c r="B23" s="2"/>
      <c r="D23" s="2"/>
      <c r="F23" s="2"/>
      <c r="H23" s="2"/>
    </row>
  </sheetData>
  <mergeCells count="4">
    <mergeCell ref="B3:G3"/>
    <mergeCell ref="B4:C4"/>
    <mergeCell ref="D4:E4"/>
    <mergeCell ref="F4:G4"/>
  </mergeCells>
  <pageMargins left="0.25" right="0.25" top="0.75" bottom="0.75" header="0.3" footer="0.3"/>
  <pageSetup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3"/>
  <sheetViews>
    <sheetView zoomScaleNormal="100" workbookViewId="0">
      <selection activeCell="H40" sqref="H40"/>
    </sheetView>
  </sheetViews>
  <sheetFormatPr defaultColWidth="8.88671875" defaultRowHeight="14.4"/>
  <cols>
    <col min="2" max="5" width="13.33203125" customWidth="1"/>
    <col min="6" max="6" width="14.33203125" customWidth="1"/>
    <col min="7" max="7" width="13.33203125" customWidth="1"/>
  </cols>
  <sheetData>
    <row r="1" spans="1:9">
      <c r="A1" s="2" t="s">
        <v>53</v>
      </c>
      <c r="B1" s="2" t="s">
        <v>54</v>
      </c>
      <c r="C1" s="2"/>
      <c r="D1" s="2"/>
      <c r="E1" s="2"/>
    </row>
    <row r="2" spans="1:9">
      <c r="A2" s="2"/>
      <c r="B2" s="2"/>
      <c r="C2" s="2"/>
      <c r="D2" s="2"/>
      <c r="E2" s="2"/>
    </row>
    <row r="3" spans="1:9" ht="16.8">
      <c r="A3" s="89"/>
      <c r="B3" s="143" t="s">
        <v>55</v>
      </c>
      <c r="C3" s="145"/>
      <c r="D3" s="143" t="s">
        <v>56</v>
      </c>
      <c r="E3" s="145"/>
      <c r="F3" s="150" t="s">
        <v>57</v>
      </c>
      <c r="G3" s="151"/>
    </row>
    <row r="4" spans="1:9">
      <c r="A4" s="4"/>
      <c r="B4" s="142" t="s">
        <v>58</v>
      </c>
      <c r="C4" s="138"/>
      <c r="D4" s="142" t="s">
        <v>58</v>
      </c>
      <c r="E4" s="138"/>
      <c r="F4" s="137" t="s">
        <v>58</v>
      </c>
      <c r="G4" s="138"/>
    </row>
    <row r="5" spans="1:9">
      <c r="A5" s="94" t="s">
        <v>49</v>
      </c>
      <c r="B5" s="83" t="s">
        <v>19</v>
      </c>
      <c r="C5" s="92" t="s">
        <v>23</v>
      </c>
      <c r="D5" s="83" t="s">
        <v>19</v>
      </c>
      <c r="E5" s="92" t="s">
        <v>23</v>
      </c>
      <c r="F5" s="84" t="s">
        <v>19</v>
      </c>
      <c r="G5" s="92" t="s">
        <v>23</v>
      </c>
    </row>
    <row r="6" spans="1:9">
      <c r="A6" s="4">
        <v>50</v>
      </c>
      <c r="B6" s="58">
        <f>'Table 2'!D6*'Table 1'!O10/1000</f>
        <v>6.7699104472595986</v>
      </c>
      <c r="C6" s="59">
        <f>'Table 2'!D6*'Table 1'!O10/1000*SQRT(('Table 2'!E6/'Table 2'!D6)^2+('Table 1'!P10/'Table 1'!O10)^2)</f>
        <v>2.6493659355770545</v>
      </c>
      <c r="D6" s="58">
        <f>'Table 2'!D6*'Table 1'!Q10/1000</f>
        <v>4.1877651787254111</v>
      </c>
      <c r="E6" s="59">
        <f>'Table 2'!D6*'Table 1'!Q10/1000*SQRT(('Table 2'!E6/'Table 2'!D6)^2+('Table 1'!R10/'Table 1'!Q10)^2)</f>
        <v>2.2152548041674915</v>
      </c>
      <c r="F6" s="58">
        <f>AVERAGE(B6,D6)</f>
        <v>5.4788378129925048</v>
      </c>
      <c r="G6" s="59">
        <f t="shared" ref="G6:G15" si="0">SQRT((C6)^2+(E6)^2)/2</f>
        <v>1.7267377991449102</v>
      </c>
      <c r="H6" s="34"/>
      <c r="I6" s="34"/>
    </row>
    <row r="7" spans="1:9">
      <c r="A7" s="4">
        <v>65</v>
      </c>
      <c r="B7" s="58">
        <f>'Table 2'!D7*'Table 1'!O11/1000</f>
        <v>5.9056035921672896</v>
      </c>
      <c r="C7" s="59">
        <f>'Table 2'!D7*'Table 1'!O11/1000*SQRT(('Table 2'!E7/'Table 2'!D7)^2+('Table 1'!P11/'Table 1'!O11)^2)</f>
        <v>2.0655756174147677</v>
      </c>
      <c r="D7" s="58">
        <f>'Table 2'!D7*'Table 1'!Q11/1000</f>
        <v>3.811334011904</v>
      </c>
      <c r="E7" s="59">
        <f>'Table 2'!D7*'Table 1'!Q11/1000*SQRT(('Table 2'!E7/'Table 2'!D7)^2+('Table 1'!R11/'Table 1'!Q11)^2)</f>
        <v>1.9830042652876212</v>
      </c>
      <c r="F7" s="58">
        <f t="shared" ref="F7:F15" si="1">AVERAGE(B7,D7)</f>
        <v>4.8584688020356452</v>
      </c>
      <c r="G7" s="59">
        <f t="shared" si="0"/>
        <v>1.4316868152119808</v>
      </c>
      <c r="H7" s="34"/>
    </row>
    <row r="8" spans="1:9">
      <c r="A8" s="135">
        <v>80</v>
      </c>
      <c r="B8" s="58">
        <f>'Table 2'!D8*'Table 1'!O12/1000</f>
        <v>4.465838516577441</v>
      </c>
      <c r="C8" s="59">
        <f>'Table 2'!D8*'Table 1'!O12/1000*SQRT(('Table 2'!E8/'Table 2'!D8)^2+('Table 1'!P12/'Table 1'!O12)^2)</f>
        <v>1.3789063534289532</v>
      </c>
      <c r="D8" s="58">
        <f>'Table 2'!D8*'Table 1'!Q12/1000</f>
        <v>3.0836554827307991</v>
      </c>
      <c r="E8" s="59">
        <f>'Table 2'!D8*'Table 1'!Q12/1000*SQRT(('Table 2'!E8/'Table 2'!D8)^2+('Table 1'!R12/'Table 1'!Q12)^2)</f>
        <v>1.6292697992896819</v>
      </c>
      <c r="F8" s="58">
        <f t="shared" si="1"/>
        <v>3.7747469996541199</v>
      </c>
      <c r="G8" s="59">
        <f t="shared" si="0"/>
        <v>1.0672280462024242</v>
      </c>
      <c r="H8" s="34"/>
    </row>
    <row r="9" spans="1:9">
      <c r="A9" s="4">
        <v>100</v>
      </c>
      <c r="B9" s="58">
        <f>'Table 2'!D9*'Table 1'!O13/1000</f>
        <v>2.3521300652258437</v>
      </c>
      <c r="C9" s="59">
        <f>'Table 2'!D9*'Table 1'!O13/1000*SQRT(('Table 2'!E9/'Table 2'!D9)^2+('Table 1'!P13/'Table 1'!O13)^2)</f>
        <v>0.62383428944707309</v>
      </c>
      <c r="D9" s="58">
        <f>'Table 2'!D9*'Table 1'!Q13/1000</f>
        <v>1.6585187451449137</v>
      </c>
      <c r="E9" s="59">
        <f>'Table 2'!D9*'Table 1'!Q13/1000*SQRT(('Table 2'!E9/'Table 2'!D9)^2+('Table 1'!R13/'Table 1'!Q13)^2)</f>
        <v>0.92375291608305121</v>
      </c>
      <c r="F9" s="58">
        <f t="shared" si="1"/>
        <v>2.0053244051853785</v>
      </c>
      <c r="G9" s="59">
        <f t="shared" si="0"/>
        <v>0.55733487928306513</v>
      </c>
      <c r="H9" s="34"/>
    </row>
    <row r="10" spans="1:9">
      <c r="A10" s="4">
        <v>120</v>
      </c>
      <c r="B10" s="58">
        <f>'Table 2'!D10*'Table 1'!O14/1000</f>
        <v>2.0195958304936266</v>
      </c>
      <c r="C10" s="59">
        <f>'Table 2'!D10*'Table 1'!O14/1000*SQRT(('Table 2'!E10/'Table 2'!D10)^2+('Table 1'!P14/'Table 1'!O14)^2)</f>
        <v>0.6564478283362879</v>
      </c>
      <c r="D10" s="58">
        <f>'Table 2'!D10*'Table 1'!Q14/1000</f>
        <v>1.4508404909579999</v>
      </c>
      <c r="E10" s="59">
        <f>'Table 2'!D10*'Table 1'!Q14/1000*SQRT(('Table 2'!E10/'Table 2'!D10)^2+('Table 1'!R14/'Table 1'!Q14)^2)</f>
        <v>0.99464795129969952</v>
      </c>
      <c r="F10" s="58">
        <f t="shared" si="1"/>
        <v>1.7352181607258133</v>
      </c>
      <c r="G10" s="59">
        <f t="shared" si="0"/>
        <v>0.5958708539507781</v>
      </c>
      <c r="H10" s="34"/>
    </row>
    <row r="11" spans="1:9">
      <c r="A11" s="4">
        <v>150</v>
      </c>
      <c r="B11" s="58">
        <f>'Table 2'!D11*'Table 1'!O15/1000</f>
        <v>1.5461231961324293</v>
      </c>
      <c r="C11" s="59">
        <f>'Table 2'!D11*'Table 1'!O15/1000*SQRT(('Table 2'!E11/'Table 2'!D11)^2+('Table 1'!P15/'Table 1'!O15)^2)</f>
        <v>0.61730171721791938</v>
      </c>
      <c r="D11" s="58">
        <f>'Table 2'!D11*'Table 1'!Q15/1000</f>
        <v>1.0508665810832543</v>
      </c>
      <c r="E11" s="59">
        <f>'Table 2'!D11*'Table 1'!Q15/1000*SQRT(('Table 2'!E11/'Table 2'!D11)^2+('Table 1'!R15/'Table 1'!Q15)^2)</f>
        <v>0.99859210454120284</v>
      </c>
      <c r="F11" s="58">
        <f t="shared" si="1"/>
        <v>1.2984948886078418</v>
      </c>
      <c r="G11" s="59">
        <f t="shared" si="0"/>
        <v>0.58699395255237097</v>
      </c>
      <c r="H11" s="34"/>
    </row>
    <row r="12" spans="1:9">
      <c r="A12" s="4">
        <v>200</v>
      </c>
      <c r="B12" s="58">
        <f>'Table 2'!D12*'Table 1'!O16/1000</f>
        <v>1.3181829097720568</v>
      </c>
      <c r="C12" s="59">
        <f>'Table 2'!D12*'Table 1'!O16/1000*SQRT(('Table 2'!E12/'Table 2'!D12)^2+('Table 1'!P16/'Table 1'!O16)^2)</f>
        <v>0.60544113531764054</v>
      </c>
      <c r="D12" s="58">
        <f>'Table 2'!D12*'Table 1'!Q16/1000</f>
        <v>0.79508337627391823</v>
      </c>
      <c r="E12" s="59">
        <f>'Table 2'!D12*'Table 1'!Q16/1000*SQRT(('Table 2'!E12/'Table 2'!D12)^2+('Table 1'!R16/'Table 1'!Q16)^2)</f>
        <v>1.2980035047677732</v>
      </c>
      <c r="F12" s="58">
        <f t="shared" si="1"/>
        <v>1.0566331430229874</v>
      </c>
      <c r="G12" s="59">
        <f t="shared" si="0"/>
        <v>0.71613058633257243</v>
      </c>
      <c r="H12" s="34"/>
    </row>
    <row r="13" spans="1:9">
      <c r="A13" s="4">
        <v>280</v>
      </c>
      <c r="B13" s="58">
        <f>'Table 2'!D13*'Table 1'!O17/1000</f>
        <v>1.1504153173580074</v>
      </c>
      <c r="C13" s="59">
        <f>'Table 2'!D13*'Table 1'!O17/1000*SQRT(('Table 2'!E13/'Table 2'!D13)^2+('Table 1'!P17/'Table 1'!O17)^2)</f>
        <v>0.45340936103785723</v>
      </c>
      <c r="D13" s="58">
        <f>'Table 2'!D13*'Table 1'!Q17/1000</f>
        <v>1.0614966877017999</v>
      </c>
      <c r="E13" s="59">
        <f>'Table 2'!D13*'Table 1'!Q17/1000*SQRT(('Table 2'!E13/'Table 2'!D13)^2+('Table 1'!R17/'Table 1'!Q17)^2)</f>
        <v>1.3402280380033291</v>
      </c>
      <c r="F13" s="58">
        <f t="shared" si="1"/>
        <v>1.1059560025299038</v>
      </c>
      <c r="G13" s="59">
        <f t="shared" si="0"/>
        <v>0.70742336025307551</v>
      </c>
      <c r="H13" s="34"/>
    </row>
    <row r="14" spans="1:9">
      <c r="A14" s="4">
        <v>330</v>
      </c>
      <c r="B14" s="58">
        <f>'Table 2'!D14*'Table 1'!O18/1000</f>
        <v>1.3753881601863198</v>
      </c>
      <c r="C14" s="59">
        <f>'Table 2'!D14*'Table 1'!O18/1000*SQRT(('Table 2'!E14/'Table 2'!D14)^2+('Table 1'!P18/'Table 1'!O18)^2)</f>
        <v>0.86075736404656256</v>
      </c>
      <c r="D14" s="58">
        <f>'Table 2'!D14*'Table 1'!Q18/1000</f>
        <v>1.1934086686138061</v>
      </c>
      <c r="E14" s="59">
        <f>'Table 2'!D14*'Table 1'!Q18/1000*SQRT(('Table 2'!E14/'Table 2'!D14)^2+('Table 1'!R18/'Table 1'!Q18)^2)</f>
        <v>1.8527632154522269</v>
      </c>
      <c r="F14" s="58">
        <f t="shared" si="1"/>
        <v>1.2843984144000631</v>
      </c>
      <c r="G14" s="59">
        <f t="shared" si="0"/>
        <v>1.0214737848194224</v>
      </c>
      <c r="H14" s="34"/>
    </row>
    <row r="15" spans="1:9">
      <c r="A15" s="8">
        <v>500</v>
      </c>
      <c r="B15" s="60">
        <f>'Table 2'!D15*'Table 1'!O19/1000</f>
        <v>1.3389599473027818</v>
      </c>
      <c r="C15" s="61">
        <f>'Table 2'!D15*'Table 1'!O19/1000*SQRT(('Table 2'!E15/'Table 2'!D15)^2+('Table 1'!P19/'Table 1'!O19)^2)</f>
        <v>1.0101788577528859</v>
      </c>
      <c r="D15" s="60">
        <f>'Table 2'!D15*'Table 1'!Q19/1000</f>
        <v>0.97875317337005685</v>
      </c>
      <c r="E15" s="61">
        <f>'Table 2'!D15*'Table 1'!Q19/1000*SQRT(('Table 2'!E15/'Table 2'!D15)^2+('Table 1'!R19/'Table 1'!Q19)^2)</f>
        <v>2.1442863393540543</v>
      </c>
      <c r="F15" s="60">
        <f t="shared" si="1"/>
        <v>1.1588565603364194</v>
      </c>
      <c r="G15" s="61">
        <f t="shared" si="0"/>
        <v>1.1851608782978933</v>
      </c>
      <c r="H15" s="34"/>
      <c r="I15" s="34"/>
    </row>
    <row r="16" spans="1:9">
      <c r="A16" s="2" t="s">
        <v>37</v>
      </c>
      <c r="B16" s="2"/>
      <c r="C16" s="2"/>
      <c r="D16" s="2"/>
      <c r="E16" s="2"/>
    </row>
    <row r="17" spans="1:5" ht="16.2">
      <c r="A17" s="14" t="s">
        <v>59</v>
      </c>
      <c r="B17" s="2"/>
      <c r="C17" s="2"/>
      <c r="D17" s="2"/>
      <c r="E17" s="2"/>
    </row>
    <row r="18" spans="1:5" ht="16.2">
      <c r="A18" s="14" t="s">
        <v>60</v>
      </c>
      <c r="B18" s="2"/>
      <c r="C18" s="2"/>
      <c r="D18" s="2"/>
      <c r="E18" s="2"/>
    </row>
    <row r="19" spans="1:5" ht="16.2">
      <c r="A19" s="2" t="s">
        <v>61</v>
      </c>
      <c r="B19" s="2"/>
      <c r="C19" s="2"/>
      <c r="D19" s="2"/>
      <c r="E19" s="2"/>
    </row>
    <row r="20" spans="1:5" ht="16.2">
      <c r="A20" s="14" t="s">
        <v>62</v>
      </c>
      <c r="B20" s="2"/>
      <c r="C20" s="2"/>
      <c r="D20" s="2"/>
      <c r="E20" s="2"/>
    </row>
    <row r="21" spans="1:5">
      <c r="B21" s="2"/>
      <c r="C21" s="2"/>
      <c r="D21" s="73"/>
      <c r="E21" s="73"/>
    </row>
    <row r="22" spans="1:5">
      <c r="B22" s="2"/>
      <c r="C22" s="2"/>
      <c r="D22" s="2"/>
      <c r="E22" s="2"/>
    </row>
    <row r="23" spans="1:5">
      <c r="B23" s="2"/>
      <c r="C23" s="2"/>
      <c r="D23" s="2"/>
      <c r="E23" s="2"/>
    </row>
  </sheetData>
  <mergeCells count="6">
    <mergeCell ref="F3:G3"/>
    <mergeCell ref="F4:G4"/>
    <mergeCell ref="D4:E4"/>
    <mergeCell ref="B4:C4"/>
    <mergeCell ref="D3:E3"/>
    <mergeCell ref="B3:C3"/>
  </mergeCells>
  <pageMargins left="0.25" right="0.25" top="0.75" bottom="0.75" header="0.3" footer="0.3"/>
  <pageSetup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17"/>
  <sheetViews>
    <sheetView topLeftCell="C1" zoomScaleNormal="100" workbookViewId="0">
      <selection activeCell="J17" sqref="J17"/>
    </sheetView>
  </sheetViews>
  <sheetFormatPr defaultColWidth="8.88671875" defaultRowHeight="14.4"/>
  <cols>
    <col min="1" max="1" width="19.5546875" customWidth="1"/>
    <col min="2" max="2" width="6.6640625" customWidth="1"/>
    <col min="3" max="3" width="2.88671875" customWidth="1"/>
    <col min="4" max="4" width="5.33203125" customWidth="1"/>
    <col min="5" max="5" width="6.6640625" customWidth="1"/>
    <col min="6" max="6" width="2.44140625" customWidth="1"/>
    <col min="7" max="7" width="5.88671875" customWidth="1"/>
    <col min="8" max="8" width="6.6640625" customWidth="1"/>
    <col min="9" max="9" width="3.44140625" customWidth="1"/>
    <col min="10" max="10" width="7.109375" style="1" customWidth="1"/>
    <col min="11" max="11" width="6.44140625" customWidth="1"/>
    <col min="12" max="12" width="2.6640625" customWidth="1"/>
    <col min="13" max="13" width="6.33203125" style="1" customWidth="1"/>
  </cols>
  <sheetData>
    <row r="1" spans="1:19">
      <c r="A1" s="2" t="s">
        <v>63</v>
      </c>
      <c r="B1" s="2" t="s">
        <v>64</v>
      </c>
      <c r="C1" s="2"/>
      <c r="D1" s="2"/>
      <c r="E1" s="2"/>
      <c r="F1" s="2"/>
      <c r="G1" s="2"/>
      <c r="H1" s="2"/>
      <c r="I1" s="2"/>
      <c r="J1" s="16"/>
      <c r="K1" s="2"/>
      <c r="L1" s="2"/>
      <c r="M1" s="16"/>
      <c r="N1" s="2"/>
      <c r="O1" s="2"/>
      <c r="P1" s="2"/>
      <c r="Q1" s="2"/>
      <c r="R1" s="2"/>
      <c r="S1" s="2"/>
    </row>
    <row r="2" spans="1:19">
      <c r="A2" s="2"/>
      <c r="B2" s="2"/>
      <c r="C2" s="2"/>
      <c r="D2" s="2"/>
      <c r="E2" s="2"/>
      <c r="F2" s="2"/>
      <c r="G2" s="2"/>
      <c r="H2" s="2"/>
      <c r="I2" s="2"/>
      <c r="J2" s="16"/>
      <c r="K2" s="2"/>
      <c r="L2" s="2"/>
      <c r="M2" s="16"/>
      <c r="N2" s="2"/>
      <c r="O2" s="2"/>
      <c r="P2" s="2"/>
      <c r="Q2" s="2"/>
      <c r="R2" s="2"/>
      <c r="S2" s="2"/>
    </row>
    <row r="3" spans="1:19">
      <c r="A3" s="2"/>
      <c r="B3" s="17" t="s">
        <v>65</v>
      </c>
      <c r="C3" s="17"/>
      <c r="D3" s="17"/>
      <c r="E3" s="17" t="s">
        <v>66</v>
      </c>
      <c r="F3" s="17"/>
      <c r="G3" s="17"/>
      <c r="H3" s="17" t="s">
        <v>67</v>
      </c>
      <c r="I3" s="17"/>
      <c r="J3" s="18"/>
      <c r="K3" s="17" t="s">
        <v>68</v>
      </c>
      <c r="L3" s="17"/>
      <c r="M3" s="16"/>
      <c r="N3" s="15" t="s">
        <v>69</v>
      </c>
      <c r="O3" s="2"/>
      <c r="P3" s="2"/>
      <c r="Q3" s="2"/>
      <c r="R3" s="2"/>
      <c r="S3" s="2"/>
    </row>
    <row r="4" spans="1:19" ht="16.2">
      <c r="A4" s="15" t="s">
        <v>70</v>
      </c>
      <c r="B4" s="2" t="s">
        <v>71</v>
      </c>
      <c r="C4" s="2"/>
      <c r="D4" s="2"/>
      <c r="E4" s="2" t="s">
        <v>71</v>
      </c>
      <c r="F4" s="2"/>
      <c r="G4" s="2"/>
      <c r="H4" s="2" t="s">
        <v>71</v>
      </c>
      <c r="I4" s="2"/>
      <c r="J4" s="16"/>
      <c r="K4" s="2" t="s">
        <v>71</v>
      </c>
      <c r="L4" s="2"/>
      <c r="M4" s="16"/>
      <c r="N4" s="2"/>
      <c r="O4" s="2"/>
      <c r="P4" s="2"/>
      <c r="Q4" s="2"/>
      <c r="R4" s="2"/>
      <c r="S4" s="2"/>
    </row>
    <row r="5" spans="1:19">
      <c r="A5" s="2" t="s">
        <v>72</v>
      </c>
      <c r="B5" s="19">
        <f>'[1]Table 3'!F6</f>
        <v>5.4788378129925048</v>
      </c>
      <c r="C5" s="19" t="s">
        <v>73</v>
      </c>
      <c r="D5" s="82">
        <f>'[1]Table 3'!G6</f>
        <v>1.7267377991449102</v>
      </c>
      <c r="E5" s="37">
        <f>'[1]Table 3'!F9</f>
        <v>2.0053244051853785</v>
      </c>
      <c r="F5" s="2" t="s">
        <v>73</v>
      </c>
      <c r="G5" s="62">
        <f>'[1]Table 3'!G9</f>
        <v>0.55733487928306513</v>
      </c>
      <c r="H5" s="37">
        <f>'[1]Table 3'!F12</f>
        <v>1.0566331430229874</v>
      </c>
      <c r="I5" s="2" t="s">
        <v>73</v>
      </c>
      <c r="J5" s="62">
        <f>'[1]Table 3'!G12</f>
        <v>0.71613058633257243</v>
      </c>
      <c r="K5" s="37">
        <f>'[1]Table 3'!F15</f>
        <v>1.1588565603364194</v>
      </c>
      <c r="L5" s="2" t="s">
        <v>73</v>
      </c>
      <c r="M5" s="62">
        <f>'[1]Table 3'!G15</f>
        <v>1.1851608782978933</v>
      </c>
      <c r="N5" s="2" t="s">
        <v>74</v>
      </c>
      <c r="O5" s="2"/>
      <c r="P5" s="2"/>
      <c r="Q5" s="2"/>
      <c r="R5" s="2"/>
      <c r="S5" s="2"/>
    </row>
    <row r="6" spans="1:19">
      <c r="A6" s="2" t="s">
        <v>75</v>
      </c>
      <c r="B6" s="21" t="s">
        <v>76</v>
      </c>
      <c r="C6" s="2" t="s">
        <v>73</v>
      </c>
      <c r="D6" s="16">
        <v>3.4</v>
      </c>
      <c r="E6" s="20" t="s">
        <v>77</v>
      </c>
      <c r="F6" s="2"/>
      <c r="G6" s="16"/>
      <c r="H6" s="20" t="s">
        <v>77</v>
      </c>
      <c r="I6" s="2"/>
      <c r="J6" s="16"/>
      <c r="K6" s="20" t="s">
        <v>77</v>
      </c>
      <c r="L6" s="2"/>
      <c r="M6" s="16"/>
      <c r="N6" s="2" t="s">
        <v>78</v>
      </c>
      <c r="O6" s="2"/>
      <c r="P6" s="2"/>
      <c r="Q6" s="2"/>
      <c r="R6" s="2"/>
      <c r="S6" s="2"/>
    </row>
    <row r="7" spans="1:19">
      <c r="A7" s="2" t="s">
        <v>79</v>
      </c>
      <c r="B7" s="20" t="s">
        <v>77</v>
      </c>
      <c r="C7" s="2"/>
      <c r="D7" s="16"/>
      <c r="E7" s="2">
        <v>2.2999999999999998</v>
      </c>
      <c r="F7" s="2" t="s">
        <v>73</v>
      </c>
      <c r="G7" s="16">
        <v>0.5</v>
      </c>
      <c r="H7" s="20" t="s">
        <v>77</v>
      </c>
      <c r="I7" s="2"/>
      <c r="J7" s="16"/>
      <c r="K7" s="20" t="s">
        <v>77</v>
      </c>
      <c r="L7" s="2"/>
      <c r="M7" s="16"/>
      <c r="N7" s="2" t="s">
        <v>80</v>
      </c>
      <c r="O7" s="2"/>
      <c r="P7" s="2"/>
      <c r="Q7" s="2"/>
      <c r="R7" s="2"/>
      <c r="S7" s="2"/>
    </row>
    <row r="8" spans="1:19">
      <c r="A8" s="2" t="s">
        <v>81</v>
      </c>
      <c r="B8" s="20">
        <v>4.0999999999999996</v>
      </c>
      <c r="C8" s="2" t="s">
        <v>73</v>
      </c>
      <c r="D8" s="16">
        <v>0.6</v>
      </c>
      <c r="E8" s="19">
        <v>3</v>
      </c>
      <c r="F8" s="2" t="s">
        <v>73</v>
      </c>
      <c r="G8" s="16">
        <v>0.1</v>
      </c>
      <c r="H8" s="131">
        <v>2</v>
      </c>
      <c r="I8" s="2" t="s">
        <v>73</v>
      </c>
      <c r="J8" s="16">
        <v>0.8</v>
      </c>
      <c r="K8" s="20" t="s">
        <v>77</v>
      </c>
      <c r="L8" s="2"/>
      <c r="M8" s="16"/>
      <c r="N8" s="2" t="s">
        <v>82</v>
      </c>
      <c r="O8" s="2"/>
      <c r="P8" s="2"/>
      <c r="Q8" s="2"/>
      <c r="R8" s="2"/>
      <c r="S8" s="2"/>
    </row>
    <row r="9" spans="1:19">
      <c r="A9" s="2"/>
      <c r="B9" s="2"/>
      <c r="C9" s="2"/>
      <c r="D9" s="16"/>
      <c r="E9" s="2"/>
      <c r="F9" s="2"/>
      <c r="G9" s="16"/>
      <c r="H9" s="2"/>
      <c r="I9" s="2"/>
      <c r="J9" s="16"/>
      <c r="K9" s="2"/>
      <c r="L9" s="2"/>
      <c r="M9" s="16"/>
      <c r="N9" s="2"/>
      <c r="O9" s="2"/>
      <c r="P9" s="2"/>
      <c r="Q9" s="2"/>
      <c r="R9" s="2"/>
      <c r="S9" s="2"/>
    </row>
    <row r="10" spans="1:19">
      <c r="A10" s="15" t="s">
        <v>83</v>
      </c>
      <c r="B10" s="2"/>
      <c r="C10" s="2"/>
      <c r="D10" s="16"/>
      <c r="E10" s="2"/>
      <c r="F10" s="2"/>
      <c r="G10" s="16"/>
      <c r="H10" s="2"/>
      <c r="I10" s="2"/>
      <c r="J10" s="16"/>
      <c r="K10" s="2"/>
      <c r="L10" s="2"/>
      <c r="M10" s="16"/>
      <c r="N10" s="2"/>
      <c r="O10" s="2"/>
      <c r="P10" s="2"/>
      <c r="Q10" s="2"/>
      <c r="R10" s="2"/>
      <c r="S10" s="2"/>
    </row>
    <row r="11" spans="1:19">
      <c r="A11" s="2" t="s">
        <v>84</v>
      </c>
      <c r="B11" s="2">
        <v>10.4</v>
      </c>
      <c r="C11" s="2" t="s">
        <v>73</v>
      </c>
      <c r="D11" s="16">
        <v>3.1</v>
      </c>
      <c r="E11" s="2">
        <v>3.9</v>
      </c>
      <c r="F11" s="2" t="s">
        <v>73</v>
      </c>
      <c r="G11" s="16">
        <v>2.5</v>
      </c>
      <c r="H11" s="19">
        <v>4</v>
      </c>
      <c r="I11" s="2" t="s">
        <v>73</v>
      </c>
      <c r="J11" s="16">
        <v>1.2</v>
      </c>
      <c r="K11" s="2">
        <v>1.9</v>
      </c>
      <c r="L11" s="2" t="s">
        <v>73</v>
      </c>
      <c r="M11" s="16">
        <v>0.4</v>
      </c>
      <c r="N11" s="2" t="s">
        <v>85</v>
      </c>
      <c r="O11" s="2"/>
      <c r="P11" s="2"/>
      <c r="Q11" s="2"/>
      <c r="R11" s="2"/>
      <c r="S11" s="2"/>
    </row>
    <row r="12" spans="1:19">
      <c r="A12" s="2" t="s">
        <v>86</v>
      </c>
      <c r="B12" s="20" t="s">
        <v>77</v>
      </c>
      <c r="C12" s="20"/>
      <c r="D12" s="21"/>
      <c r="E12" s="20" t="s">
        <v>77</v>
      </c>
      <c r="F12" s="22"/>
      <c r="G12" s="16"/>
      <c r="H12" s="2">
        <v>1.3</v>
      </c>
      <c r="I12" s="2"/>
      <c r="J12" s="16" t="s">
        <v>87</v>
      </c>
      <c r="K12" s="20" t="s">
        <v>77</v>
      </c>
      <c r="L12" s="22"/>
      <c r="M12" s="16"/>
      <c r="N12" s="2" t="s">
        <v>88</v>
      </c>
      <c r="O12" s="2"/>
      <c r="P12" s="2"/>
      <c r="Q12" s="2"/>
      <c r="R12" s="2"/>
      <c r="S12" s="2"/>
    </row>
    <row r="13" spans="1:19">
      <c r="A13" s="2" t="s">
        <v>89</v>
      </c>
      <c r="B13" s="20" t="s">
        <v>77</v>
      </c>
      <c r="C13" s="20"/>
      <c r="D13" s="21"/>
      <c r="E13" s="20">
        <v>1.38</v>
      </c>
      <c r="F13" s="2" t="s">
        <v>73</v>
      </c>
      <c r="G13" s="16">
        <v>0.77</v>
      </c>
      <c r="H13" s="2">
        <v>0.76</v>
      </c>
      <c r="I13" s="2" t="s">
        <v>73</v>
      </c>
      <c r="J13" s="16">
        <v>0.24</v>
      </c>
      <c r="K13" s="2">
        <v>0.86</v>
      </c>
      <c r="L13" s="2" t="s">
        <v>73</v>
      </c>
      <c r="M13" s="16">
        <v>0.43</v>
      </c>
      <c r="N13" s="2" t="s">
        <v>90</v>
      </c>
      <c r="O13" s="2"/>
      <c r="P13" s="2"/>
      <c r="Q13" s="2"/>
      <c r="R13" s="2"/>
      <c r="S13" s="2"/>
    </row>
    <row r="14" spans="1:19">
      <c r="A14" s="2" t="s">
        <v>81</v>
      </c>
      <c r="B14" s="22">
        <v>11.8</v>
      </c>
      <c r="C14" s="2" t="s">
        <v>73</v>
      </c>
      <c r="D14" s="16">
        <v>1.7</v>
      </c>
      <c r="E14" s="22">
        <v>6.2</v>
      </c>
      <c r="F14" s="2" t="s">
        <v>73</v>
      </c>
      <c r="G14" s="16">
        <v>0.3</v>
      </c>
      <c r="H14" s="2">
        <v>6.8</v>
      </c>
      <c r="I14" s="2" t="s">
        <v>73</v>
      </c>
      <c r="J14" s="16">
        <v>1.8</v>
      </c>
      <c r="N14" s="2" t="s">
        <v>91</v>
      </c>
    </row>
    <row r="15" spans="1:19">
      <c r="A15" s="2"/>
      <c r="B15" s="22"/>
      <c r="C15" s="2"/>
      <c r="D15" s="16"/>
      <c r="E15" s="22"/>
      <c r="F15" s="2"/>
      <c r="G15" s="16"/>
      <c r="H15" s="2"/>
      <c r="I15" s="2"/>
      <c r="J15" s="16"/>
      <c r="K15" s="2"/>
      <c r="L15" s="2"/>
      <c r="M15" s="16"/>
      <c r="N15" s="2"/>
    </row>
    <row r="16" spans="1:19">
      <c r="A16" s="57" t="s">
        <v>37</v>
      </c>
    </row>
    <row r="17" spans="1:1">
      <c r="A17" s="57" t="s">
        <v>92</v>
      </c>
    </row>
  </sheetData>
  <pageMargins left="0.25" right="0.25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772"/>
  <sheetViews>
    <sheetView tabSelected="1" zoomScaleNormal="100" workbookViewId="0">
      <pane xSplit="10" ySplit="5" topLeftCell="Q6" activePane="bottomRight" state="frozen"/>
      <selection pane="topRight" activeCell="J1" sqref="J1"/>
      <selection pane="bottomLeft" activeCell="A6" sqref="A6"/>
      <selection pane="bottomRight" activeCell="AD7" sqref="AD7"/>
    </sheetView>
  </sheetViews>
  <sheetFormatPr defaultColWidth="8.88671875" defaultRowHeight="14.4"/>
  <cols>
    <col min="5" max="5" width="5.88671875" bestFit="1" customWidth="1"/>
    <col min="6" max="8" width="8.88671875" customWidth="1"/>
    <col min="9" max="9" width="12.109375" customWidth="1"/>
    <col min="10" max="10" width="8.88671875" customWidth="1"/>
    <col min="14" max="14" width="12" bestFit="1" customWidth="1"/>
    <col min="16" max="16" width="9.88671875" style="63" customWidth="1"/>
    <col min="17" max="17" width="8.88671875" style="34"/>
    <col min="18" max="18" width="12.109375" style="65" bestFit="1" customWidth="1"/>
  </cols>
  <sheetData>
    <row r="1" spans="1:23">
      <c r="A1" s="2" t="s">
        <v>93</v>
      </c>
      <c r="B1" s="2" t="s">
        <v>94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Q1" s="37"/>
      <c r="S1" s="2"/>
      <c r="T1" s="166" t="s">
        <v>207</v>
      </c>
      <c r="U1" s="170">
        <f>'Table 1'!W7</f>
        <v>0.70705883039729356</v>
      </c>
      <c r="V1" s="170">
        <f>'Table 1'!X7</f>
        <v>9.165258112147355E-2</v>
      </c>
      <c r="W1" s="166" t="s">
        <v>208</v>
      </c>
    </row>
    <row r="2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Q2" s="37"/>
      <c r="S2" s="2"/>
      <c r="W2" s="166" t="s">
        <v>213</v>
      </c>
    </row>
    <row r="3" spans="1:23" s="40" customForma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132" t="s">
        <v>95</v>
      </c>
      <c r="O3" s="5"/>
      <c r="P3" s="64"/>
      <c r="Q3" s="27"/>
      <c r="R3" s="66" t="s">
        <v>205</v>
      </c>
      <c r="S3" s="5"/>
      <c r="T3" s="163" t="s">
        <v>206</v>
      </c>
    </row>
    <row r="4" spans="1:23" s="41" customFormat="1" ht="16.2">
      <c r="A4" s="132" t="s">
        <v>96</v>
      </c>
      <c r="B4" s="132" t="s">
        <v>97</v>
      </c>
      <c r="C4" s="5" t="s">
        <v>98</v>
      </c>
      <c r="D4" s="5"/>
      <c r="E4" s="5"/>
      <c r="F4" s="5"/>
      <c r="G4" s="5"/>
      <c r="H4" s="5" t="s">
        <v>99</v>
      </c>
      <c r="I4" s="5" t="s">
        <v>100</v>
      </c>
      <c r="J4" s="5"/>
      <c r="K4" s="5" t="s">
        <v>101</v>
      </c>
      <c r="L4" s="27" t="s">
        <v>102</v>
      </c>
      <c r="M4" s="6"/>
      <c r="N4" s="28" t="s">
        <v>103</v>
      </c>
      <c r="O4" s="5"/>
      <c r="P4" s="67" t="s">
        <v>104</v>
      </c>
      <c r="Q4" s="7"/>
      <c r="R4" s="69" t="s">
        <v>209</v>
      </c>
      <c r="S4" s="5"/>
      <c r="T4" s="172" t="s">
        <v>210</v>
      </c>
      <c r="U4" s="173"/>
    </row>
    <row r="5" spans="1:23" s="41" customFormat="1" ht="16.8">
      <c r="A5" s="5" t="s">
        <v>105</v>
      </c>
      <c r="B5" s="5" t="s">
        <v>106</v>
      </c>
      <c r="C5" s="5" t="s">
        <v>107</v>
      </c>
      <c r="D5" s="5" t="s">
        <v>108</v>
      </c>
      <c r="E5" s="5" t="s">
        <v>109</v>
      </c>
      <c r="F5" s="5" t="s">
        <v>110</v>
      </c>
      <c r="G5" s="5" t="s">
        <v>111</v>
      </c>
      <c r="H5" s="5" t="s">
        <v>112</v>
      </c>
      <c r="I5" s="5" t="s">
        <v>113</v>
      </c>
      <c r="J5" s="5" t="s">
        <v>114</v>
      </c>
      <c r="K5" s="5" t="s">
        <v>115</v>
      </c>
      <c r="L5" s="27" t="s">
        <v>116</v>
      </c>
      <c r="M5" s="33" t="s">
        <v>23</v>
      </c>
      <c r="N5" s="6" t="s">
        <v>117</v>
      </c>
      <c r="O5" s="33" t="s">
        <v>23</v>
      </c>
      <c r="P5" s="67" t="s">
        <v>118</v>
      </c>
      <c r="Q5" s="38" t="s">
        <v>50</v>
      </c>
      <c r="R5" s="69" t="s">
        <v>119</v>
      </c>
      <c r="S5" s="23" t="s">
        <v>23</v>
      </c>
      <c r="T5" s="174" t="s">
        <v>211</v>
      </c>
      <c r="U5" s="175" t="s">
        <v>23</v>
      </c>
    </row>
    <row r="6" spans="1:23" s="42" customFormat="1">
      <c r="A6" s="5">
        <v>6</v>
      </c>
      <c r="B6" s="6">
        <v>5.2409999999999997</v>
      </c>
      <c r="C6" s="5" t="s">
        <v>120</v>
      </c>
      <c r="D6" s="5">
        <v>1</v>
      </c>
      <c r="E6" s="5">
        <v>1</v>
      </c>
      <c r="F6" s="24">
        <v>50.085999999999999</v>
      </c>
      <c r="G6" s="24">
        <v>-145.05000000000001</v>
      </c>
      <c r="H6" s="5">
        <v>14</v>
      </c>
      <c r="I6" s="25">
        <v>43326.336111111108</v>
      </c>
      <c r="J6" s="26">
        <v>43326.336111111108</v>
      </c>
      <c r="K6" s="7">
        <v>2.2249590000000001</v>
      </c>
      <c r="L6" s="7">
        <v>1.4255162591230361</v>
      </c>
      <c r="M6" s="7">
        <v>6.9284611174128846E-2</v>
      </c>
      <c r="N6" s="6">
        <v>299.32100346379036</v>
      </c>
      <c r="O6" s="6">
        <v>25.9409939960046</v>
      </c>
      <c r="P6" s="7">
        <v>5.3045246601367619</v>
      </c>
      <c r="Q6" s="7">
        <v>1.8998610814664527</v>
      </c>
      <c r="R6" s="67">
        <v>1.5877556441705571</v>
      </c>
      <c r="S6" s="7">
        <v>0.58508008157115399</v>
      </c>
      <c r="T6" s="171">
        <f>R6*U$1</f>
        <v>1.1226366487239356</v>
      </c>
      <c r="U6" s="171">
        <f>((((S6/R6)^2+(V$1/U$1)^2))^0.5)*T6</f>
        <v>0.43853479043134308</v>
      </c>
    </row>
    <row r="7" spans="1:23" s="42" customFormat="1">
      <c r="A7" s="5">
        <v>7</v>
      </c>
      <c r="B7" s="6">
        <v>20.795999999999999</v>
      </c>
      <c r="C7" s="5" t="s">
        <v>120</v>
      </c>
      <c r="D7" s="5">
        <v>1</v>
      </c>
      <c r="E7" s="5">
        <v>1</v>
      </c>
      <c r="F7" s="24">
        <v>50.085999999999999</v>
      </c>
      <c r="G7" s="24">
        <v>-145.05000000000001</v>
      </c>
      <c r="H7" s="5">
        <v>13</v>
      </c>
      <c r="I7" s="25">
        <v>43326.336111111108</v>
      </c>
      <c r="J7" s="26">
        <v>43326.336111111108</v>
      </c>
      <c r="K7" s="7">
        <v>2.2249590000000001</v>
      </c>
      <c r="L7" s="7">
        <v>1.1867027105301884</v>
      </c>
      <c r="M7" s="7">
        <v>6.329678773932243E-2</v>
      </c>
      <c r="N7" s="6">
        <v>732.41408230203194</v>
      </c>
      <c r="O7" s="6">
        <v>37.014454573305599</v>
      </c>
      <c r="P7" s="7">
        <v>5.3045246601367619</v>
      </c>
      <c r="Q7" s="7">
        <v>1.8998610814664527</v>
      </c>
      <c r="R7" s="67">
        <v>3.8851085610025642</v>
      </c>
      <c r="S7" s="7">
        <v>1.4052692037208268</v>
      </c>
      <c r="T7" s="171">
        <f t="shared" ref="T7:T70" si="0">R7*U$1</f>
        <v>2.7470003151089855</v>
      </c>
      <c r="U7" s="171">
        <f t="shared" ref="U7:U70" si="1">((((S7/R7)^2+(V$1/U$1)^2))^0.5)*T7</f>
        <v>1.0554856632261735</v>
      </c>
    </row>
    <row r="8" spans="1:23" s="42" customFormat="1">
      <c r="A8" s="5">
        <v>8</v>
      </c>
      <c r="B8" s="6">
        <v>34.249000000000002</v>
      </c>
      <c r="C8" s="5" t="s">
        <v>120</v>
      </c>
      <c r="D8" s="5">
        <v>1</v>
      </c>
      <c r="E8" s="5">
        <v>1</v>
      </c>
      <c r="F8" s="24">
        <v>50.085999999999999</v>
      </c>
      <c r="G8" s="24">
        <v>-145.05000000000001</v>
      </c>
      <c r="H8" s="5">
        <v>12</v>
      </c>
      <c r="I8" s="25">
        <v>43326.336111111108</v>
      </c>
      <c r="J8" s="26">
        <v>43326.336111111108</v>
      </c>
      <c r="K8" s="7">
        <v>2.2323474000000001</v>
      </c>
      <c r="L8" s="7">
        <v>1.5618981418502722</v>
      </c>
      <c r="M8" s="7">
        <v>8.1239355812381231E-2</v>
      </c>
      <c r="N8" s="6">
        <v>999.38468396078986</v>
      </c>
      <c r="O8" s="6">
        <v>49.158343796713631</v>
      </c>
      <c r="P8" s="7">
        <v>5.3045246601367619</v>
      </c>
      <c r="Q8" s="7">
        <v>1.8998610814664527</v>
      </c>
      <c r="R8" s="67">
        <v>5.3012607010329935</v>
      </c>
      <c r="S8" s="7">
        <v>1.9165145968095352</v>
      </c>
      <c r="T8" s="171">
        <f t="shared" si="0"/>
        <v>3.7483031909035249</v>
      </c>
      <c r="U8" s="171">
        <f t="shared" si="1"/>
        <v>1.4395620148030079</v>
      </c>
    </row>
    <row r="9" spans="1:23" s="42" customFormat="1">
      <c r="A9" s="5">
        <v>9</v>
      </c>
      <c r="B9" s="6">
        <v>48.486999999999902</v>
      </c>
      <c r="C9" s="5" t="s">
        <v>120</v>
      </c>
      <c r="D9" s="5">
        <v>1</v>
      </c>
      <c r="E9" s="5">
        <v>1</v>
      </c>
      <c r="F9" s="24">
        <v>50.085999999999999</v>
      </c>
      <c r="G9" s="24">
        <v>-145.05000000000001</v>
      </c>
      <c r="H9" s="5">
        <v>11</v>
      </c>
      <c r="I9" s="25">
        <v>43326.336111111108</v>
      </c>
      <c r="J9" s="26">
        <v>43326.336111111108</v>
      </c>
      <c r="K9" s="7">
        <v>2.2353342000000005</v>
      </c>
      <c r="L9" s="7">
        <v>1.7369509084240848</v>
      </c>
      <c r="M9" s="7">
        <v>8.9650296280462158E-2</v>
      </c>
      <c r="N9" s="6">
        <v>1207.75082384201</v>
      </c>
      <c r="O9" s="6">
        <v>61.817436894474497</v>
      </c>
      <c r="P9" s="7">
        <v>5.3045246601367619</v>
      </c>
      <c r="Q9" s="7">
        <v>1.8998610814664527</v>
      </c>
      <c r="R9" s="67">
        <v>6.4065440283704325</v>
      </c>
      <c r="S9" s="7">
        <v>2.3178710881590008</v>
      </c>
      <c r="T9" s="171">
        <f t="shared" si="0"/>
        <v>4.5298035275883635</v>
      </c>
      <c r="U9" s="171">
        <f t="shared" si="1"/>
        <v>1.7408833621550466</v>
      </c>
    </row>
    <row r="10" spans="1:23" s="42" customFormat="1">
      <c r="A10" s="5">
        <v>10</v>
      </c>
      <c r="B10" s="6">
        <v>63.323</v>
      </c>
      <c r="C10" s="5" t="s">
        <v>120</v>
      </c>
      <c r="D10" s="5">
        <v>1</v>
      </c>
      <c r="E10" s="5">
        <v>1</v>
      </c>
      <c r="F10" s="24">
        <v>50.085999999999999</v>
      </c>
      <c r="G10" s="24">
        <v>-145.05000000000001</v>
      </c>
      <c r="H10" s="5">
        <v>10</v>
      </c>
      <c r="I10" s="25">
        <v>43326.336111111108</v>
      </c>
      <c r="J10" s="26">
        <v>43326.336111111108</v>
      </c>
      <c r="K10" s="7">
        <v>2.2395</v>
      </c>
      <c r="L10" s="7">
        <v>1.9128518872772551</v>
      </c>
      <c r="M10" s="7">
        <v>8.6005500102596846E-2</v>
      </c>
      <c r="N10" s="6">
        <v>1351.7012107807784</v>
      </c>
      <c r="O10" s="6">
        <v>72.5116253869205</v>
      </c>
      <c r="P10" s="67">
        <v>4.3219948999999991</v>
      </c>
      <c r="Q10" s="7">
        <v>1.3229211174849953</v>
      </c>
      <c r="R10" s="67">
        <v>5.8420457393183476</v>
      </c>
      <c r="S10" s="7">
        <v>1.8154488156268951</v>
      </c>
      <c r="T10" s="171">
        <f t="shared" si="0"/>
        <v>4.1306700275699226</v>
      </c>
      <c r="U10" s="171">
        <f t="shared" si="1"/>
        <v>1.3908264346681389</v>
      </c>
    </row>
    <row r="11" spans="1:23" s="42" customFormat="1">
      <c r="A11" s="5">
        <v>11</v>
      </c>
      <c r="B11" s="28">
        <v>79.132999999999996</v>
      </c>
      <c r="C11" s="5" t="s">
        <v>120</v>
      </c>
      <c r="D11" s="5">
        <v>1</v>
      </c>
      <c r="E11" s="5">
        <v>1</v>
      </c>
      <c r="F11" s="24">
        <v>50.085999999999999</v>
      </c>
      <c r="G11" s="24">
        <v>-145.05000000000001</v>
      </c>
      <c r="H11" s="5">
        <v>9</v>
      </c>
      <c r="I11" s="25">
        <v>43326.336111111108</v>
      </c>
      <c r="J11" s="26">
        <v>43326.336111111108</v>
      </c>
      <c r="K11" s="7">
        <v>2.2433514000000003</v>
      </c>
      <c r="L11" s="7">
        <v>2.2611900736356851</v>
      </c>
      <c r="M11" s="7">
        <v>9.6976240028717728E-2</v>
      </c>
      <c r="N11" s="6">
        <v>1342.7042803706759</v>
      </c>
      <c r="O11" s="6">
        <v>87.464954058030017</v>
      </c>
      <c r="P11" s="67">
        <v>3.156797899999999</v>
      </c>
      <c r="Q11" s="7">
        <v>0.77117132734328353</v>
      </c>
      <c r="R11" s="67">
        <v>4.2386460525951595</v>
      </c>
      <c r="S11" s="7">
        <v>1.0716358641614872</v>
      </c>
      <c r="T11" s="171">
        <f t="shared" si="0"/>
        <v>2.9969721204160389</v>
      </c>
      <c r="U11" s="171">
        <f t="shared" si="1"/>
        <v>0.85149443021874904</v>
      </c>
    </row>
    <row r="12" spans="1:23" s="42" customFormat="1">
      <c r="A12" s="5">
        <v>12</v>
      </c>
      <c r="B12" s="28">
        <v>98.396000000000001</v>
      </c>
      <c r="C12" s="5" t="s">
        <v>120</v>
      </c>
      <c r="D12" s="5">
        <v>1</v>
      </c>
      <c r="E12" s="5">
        <v>1</v>
      </c>
      <c r="F12" s="24">
        <v>50.085999999999999</v>
      </c>
      <c r="G12" s="24">
        <v>-145.05000000000001</v>
      </c>
      <c r="H12" s="5">
        <v>8</v>
      </c>
      <c r="I12" s="25">
        <v>43326.336111111108</v>
      </c>
      <c r="J12" s="26">
        <v>43326.336111111108</v>
      </c>
      <c r="K12" s="7">
        <v>2.2461810000000004</v>
      </c>
      <c r="L12" s="7">
        <v>2.4037463092231994</v>
      </c>
      <c r="M12" s="7">
        <v>0.10346189555859084</v>
      </c>
      <c r="N12" s="6">
        <v>1276.4684662472528</v>
      </c>
      <c r="O12" s="6">
        <v>97.681631896311174</v>
      </c>
      <c r="P12" s="67">
        <v>1.7371147999999987</v>
      </c>
      <c r="Q12" s="7">
        <v>0.29355509258813262</v>
      </c>
      <c r="R12" s="67">
        <v>2.2173722644514013</v>
      </c>
      <c r="S12" s="7">
        <v>0.41134313728934907</v>
      </c>
      <c r="T12" s="171">
        <f t="shared" si="0"/>
        <v>1.5678126398584062</v>
      </c>
      <c r="U12" s="171">
        <f t="shared" si="1"/>
        <v>0.35481219030616828</v>
      </c>
    </row>
    <row r="13" spans="1:23" s="42" customFormat="1">
      <c r="A13" s="5">
        <v>13</v>
      </c>
      <c r="B13" s="28">
        <v>108.366</v>
      </c>
      <c r="C13" s="5" t="s">
        <v>120</v>
      </c>
      <c r="D13" s="5">
        <v>1</v>
      </c>
      <c r="E13" s="5">
        <v>1</v>
      </c>
      <c r="F13" s="24">
        <v>50.085999999999999</v>
      </c>
      <c r="G13" s="24">
        <v>-145.05000000000001</v>
      </c>
      <c r="H13" s="5">
        <v>7</v>
      </c>
      <c r="I13" s="25">
        <v>43326.336111111108</v>
      </c>
      <c r="J13" s="26">
        <v>43326.336111111108</v>
      </c>
      <c r="K13" s="7">
        <v>2.2762848000000004</v>
      </c>
      <c r="L13" s="7">
        <v>2.5685618750319792</v>
      </c>
      <c r="M13" s="7">
        <v>0.1178011422537656</v>
      </c>
      <c r="N13" s="6">
        <v>1174.4083688642907</v>
      </c>
      <c r="O13" s="6">
        <v>105.98954383565189</v>
      </c>
      <c r="P13" s="67">
        <v>1.5320034</v>
      </c>
      <c r="Q13" s="7">
        <v>0.27354886175542681</v>
      </c>
      <c r="R13" s="67">
        <v>1.7991976140885475</v>
      </c>
      <c r="S13" s="7">
        <v>0.35996225560054074</v>
      </c>
      <c r="T13" s="171">
        <f t="shared" si="0"/>
        <v>1.2721385606710496</v>
      </c>
      <c r="U13" s="171">
        <f t="shared" si="1"/>
        <v>0.30326556163057711</v>
      </c>
    </row>
    <row r="14" spans="1:23" s="42" customFormat="1">
      <c r="A14" s="5">
        <v>14</v>
      </c>
      <c r="B14" s="28">
        <v>122.679</v>
      </c>
      <c r="C14" s="5" t="s">
        <v>120</v>
      </c>
      <c r="D14" s="5">
        <v>1</v>
      </c>
      <c r="E14" s="5">
        <v>1</v>
      </c>
      <c r="F14" s="24">
        <v>50.085999999999999</v>
      </c>
      <c r="G14" s="24">
        <v>-145.05000000000001</v>
      </c>
      <c r="H14" s="5">
        <v>6</v>
      </c>
      <c r="I14" s="25">
        <v>43326.336111111108</v>
      </c>
      <c r="J14" s="26">
        <v>43326.336111111108</v>
      </c>
      <c r="K14" s="7">
        <v>2.3054454</v>
      </c>
      <c r="L14" s="7">
        <v>2.3671574262561803</v>
      </c>
      <c r="M14" s="7">
        <v>0.10224850396795732</v>
      </c>
      <c r="N14" s="6">
        <v>1137.9265763410399</v>
      </c>
      <c r="O14" s="6">
        <v>122.01406046275625</v>
      </c>
      <c r="P14" s="67">
        <v>1.3874421000000001</v>
      </c>
      <c r="Q14" s="7">
        <v>0.28540802691565231</v>
      </c>
      <c r="R14" s="67">
        <v>1.578807238724423</v>
      </c>
      <c r="S14" s="7">
        <v>0.36624580059124889</v>
      </c>
      <c r="T14" s="171">
        <f t="shared" si="0"/>
        <v>1.1163095996352712</v>
      </c>
      <c r="U14" s="171">
        <f t="shared" si="1"/>
        <v>0.29664371952844321</v>
      </c>
    </row>
    <row r="15" spans="1:23" s="42" customFormat="1">
      <c r="A15" s="5">
        <v>15</v>
      </c>
      <c r="B15" s="28">
        <v>149.476</v>
      </c>
      <c r="C15" s="5" t="s">
        <v>120</v>
      </c>
      <c r="D15" s="5">
        <v>1</v>
      </c>
      <c r="E15" s="5">
        <v>1</v>
      </c>
      <c r="F15" s="24">
        <v>50.085999999999999</v>
      </c>
      <c r="G15" s="24">
        <v>-145.05000000000001</v>
      </c>
      <c r="H15" s="5">
        <v>5</v>
      </c>
      <c r="I15" s="25">
        <v>43326.336111111108</v>
      </c>
      <c r="J15" s="26">
        <v>43326.336111111108</v>
      </c>
      <c r="K15" s="7">
        <v>2.3249382000000005</v>
      </c>
      <c r="L15" s="7">
        <v>2.171632941393872</v>
      </c>
      <c r="M15" s="7">
        <v>9.7419990279703425E-2</v>
      </c>
      <c r="N15" s="6">
        <v>1304.7102646480344</v>
      </c>
      <c r="O15" s="6">
        <v>161.61763978826698</v>
      </c>
      <c r="P15" s="67">
        <v>1.1167924</v>
      </c>
      <c r="Q15" s="7">
        <v>0.28650412461061281</v>
      </c>
      <c r="R15" s="67">
        <v>1.4570905077609133</v>
      </c>
      <c r="S15" s="7">
        <v>0.41509990672692809</v>
      </c>
      <c r="T15" s="171">
        <f t="shared" si="0"/>
        <v>1.0302487102004299</v>
      </c>
      <c r="U15" s="171">
        <f t="shared" si="1"/>
        <v>0.32245440675855586</v>
      </c>
    </row>
    <row r="16" spans="1:23" s="42" customFormat="1">
      <c r="A16" s="5">
        <v>16</v>
      </c>
      <c r="B16" s="28">
        <v>198.334</v>
      </c>
      <c r="C16" s="5" t="s">
        <v>120</v>
      </c>
      <c r="D16" s="5">
        <v>1</v>
      </c>
      <c r="E16" s="5">
        <v>1</v>
      </c>
      <c r="F16" s="24">
        <v>50.085999999999999</v>
      </c>
      <c r="G16" s="24">
        <v>-145.05000000000001</v>
      </c>
      <c r="H16" s="5">
        <v>4</v>
      </c>
      <c r="I16" s="25">
        <v>43326.336111111108</v>
      </c>
      <c r="J16" s="26">
        <v>43326.336111111108</v>
      </c>
      <c r="K16" s="7">
        <v>2.3371998000000005</v>
      </c>
      <c r="L16" s="7">
        <v>2.3540726376357135</v>
      </c>
      <c r="M16" s="7">
        <v>9.7988963513746571E-2</v>
      </c>
      <c r="N16" s="6">
        <v>1260.1311113075419</v>
      </c>
      <c r="O16" s="6">
        <v>305.19832075047509</v>
      </c>
      <c r="P16" s="67">
        <v>1.0296988</v>
      </c>
      <c r="Q16" s="7">
        <v>6.7089007971585596E-2</v>
      </c>
      <c r="R16" s="67">
        <v>1.2975554931560422</v>
      </c>
      <c r="S16" s="7">
        <v>0.32543508237047586</v>
      </c>
      <c r="T16" s="171">
        <f t="shared" si="0"/>
        <v>0.9174480693664947</v>
      </c>
      <c r="U16" s="171">
        <f t="shared" si="1"/>
        <v>0.2590170000053012</v>
      </c>
    </row>
    <row r="17" spans="1:21" s="42" customFormat="1">
      <c r="A17" s="5">
        <v>17</v>
      </c>
      <c r="B17" s="28">
        <v>333.20800000000003</v>
      </c>
      <c r="C17" s="5" t="s">
        <v>120</v>
      </c>
      <c r="D17" s="5">
        <v>1</v>
      </c>
      <c r="E17" s="5">
        <v>1</v>
      </c>
      <c r="F17" s="24">
        <v>50.085999999999999</v>
      </c>
      <c r="G17" s="24">
        <v>-145.05000000000001</v>
      </c>
      <c r="H17" s="5">
        <v>3</v>
      </c>
      <c r="I17" s="25">
        <v>43326.336111111108</v>
      </c>
      <c r="J17" s="26">
        <v>43326.336111111108</v>
      </c>
      <c r="K17" s="7">
        <v>2.3516622000000003</v>
      </c>
      <c r="L17" s="7">
        <v>2.3924465576922294</v>
      </c>
      <c r="M17" s="7">
        <v>9.8376186428583604E-2</v>
      </c>
      <c r="N17" s="6">
        <v>1081.4860696562591</v>
      </c>
      <c r="O17" s="6">
        <v>528.04363872289173</v>
      </c>
      <c r="P17" s="67">
        <v>0.92871680000000001</v>
      </c>
      <c r="Q17" s="7">
        <v>0.14905734499082243</v>
      </c>
      <c r="R17" s="67">
        <v>1.0043942818557381</v>
      </c>
      <c r="S17" s="7">
        <v>0.51621860740156067</v>
      </c>
      <c r="T17" s="171">
        <f t="shared" si="0"/>
        <v>0.7101658461866478</v>
      </c>
      <c r="U17" s="171">
        <f t="shared" si="1"/>
        <v>0.3764265380973148</v>
      </c>
    </row>
    <row r="18" spans="1:21" s="42" customFormat="1">
      <c r="A18" s="5">
        <v>18</v>
      </c>
      <c r="B18" s="28">
        <v>502.94</v>
      </c>
      <c r="C18" s="5" t="s">
        <v>120</v>
      </c>
      <c r="D18" s="5">
        <v>1</v>
      </c>
      <c r="E18" s="5">
        <v>1</v>
      </c>
      <c r="F18" s="24">
        <v>50.085999999999999</v>
      </c>
      <c r="G18" s="24">
        <v>-145.05000000000001</v>
      </c>
      <c r="H18" s="5">
        <v>1</v>
      </c>
      <c r="I18" s="25">
        <v>43326.336111111108</v>
      </c>
      <c r="J18" s="26">
        <v>43326.336111111108</v>
      </c>
      <c r="K18" s="7">
        <v>2.3645526000000001</v>
      </c>
      <c r="L18" s="7">
        <v>2.4242660362136208</v>
      </c>
      <c r="M18" s="7">
        <v>0.10053503350867761</v>
      </c>
      <c r="N18" s="6">
        <v>935.74072951745939</v>
      </c>
      <c r="O18" s="6">
        <v>582.27285072784844</v>
      </c>
      <c r="P18" s="68">
        <v>0.87680272990205399</v>
      </c>
      <c r="Q18" s="7">
        <v>0.15828163628098546</v>
      </c>
      <c r="R18" s="67">
        <v>0.82046002612144786</v>
      </c>
      <c r="S18" s="7">
        <v>0.53158839861408902</v>
      </c>
      <c r="T18" s="171">
        <f t="shared" si="0"/>
        <v>0.58011350645716386</v>
      </c>
      <c r="U18" s="171">
        <f t="shared" si="1"/>
        <v>0.38331264169323442</v>
      </c>
    </row>
    <row r="19" spans="1:21" s="42" customFormat="1">
      <c r="A19" s="5">
        <v>19</v>
      </c>
      <c r="B19" s="28">
        <v>8.03399999999999</v>
      </c>
      <c r="C19" s="5" t="s">
        <v>121</v>
      </c>
      <c r="D19" s="5">
        <v>2</v>
      </c>
      <c r="E19" s="5">
        <v>1</v>
      </c>
      <c r="F19" s="24">
        <v>50.055999999999997</v>
      </c>
      <c r="G19" s="24">
        <v>-145.279</v>
      </c>
      <c r="H19" s="5">
        <v>13</v>
      </c>
      <c r="I19" s="25">
        <v>43326.459027777775</v>
      </c>
      <c r="J19" s="26">
        <v>43326.459027777775</v>
      </c>
      <c r="K19" s="7">
        <v>2.2251948000000001</v>
      </c>
      <c r="L19" s="7">
        <v>1.1369578149428272</v>
      </c>
      <c r="M19" s="7">
        <v>6.8067947060695369E-2</v>
      </c>
      <c r="N19" s="6">
        <v>484.39443619791086</v>
      </c>
      <c r="O19" s="6">
        <v>30.298303855095071</v>
      </c>
      <c r="P19" s="7">
        <v>5.3045246601367619</v>
      </c>
      <c r="Q19" s="7">
        <v>1.8998610814664527</v>
      </c>
      <c r="R19" s="67">
        <v>2.5694822320448614</v>
      </c>
      <c r="S19" s="7">
        <v>0.93421064010904331</v>
      </c>
      <c r="T19" s="171">
        <f t="shared" si="0"/>
        <v>1.816775101716267</v>
      </c>
      <c r="U19" s="171">
        <f t="shared" si="1"/>
        <v>0.70126719391650894</v>
      </c>
    </row>
    <row r="20" spans="1:21" s="42" customFormat="1">
      <c r="A20" s="5">
        <v>20</v>
      </c>
      <c r="B20" s="28">
        <v>22.92</v>
      </c>
      <c r="C20" s="5" t="s">
        <v>121</v>
      </c>
      <c r="D20" s="5">
        <v>2</v>
      </c>
      <c r="E20" s="5">
        <v>1</v>
      </c>
      <c r="F20" s="24">
        <v>50.055999999999997</v>
      </c>
      <c r="G20" s="24">
        <v>-145.279</v>
      </c>
      <c r="H20" s="5">
        <v>12</v>
      </c>
      <c r="I20" s="25">
        <v>43326.459027777775</v>
      </c>
      <c r="J20" s="26">
        <v>43326.459027777775</v>
      </c>
      <c r="K20" s="7">
        <v>2.2251948000000001</v>
      </c>
      <c r="L20" s="7">
        <v>1.3716086663844616</v>
      </c>
      <c r="M20" s="7">
        <v>7.2058932029416684E-2</v>
      </c>
      <c r="N20" s="6">
        <v>844.00247251287499</v>
      </c>
      <c r="O20" s="6">
        <v>42.890341362513801</v>
      </c>
      <c r="P20" s="7">
        <v>5.3045246601367619</v>
      </c>
      <c r="Q20" s="7">
        <v>1.8998610814664527</v>
      </c>
      <c r="R20" s="67">
        <v>4.4770319286609448</v>
      </c>
      <c r="S20" s="7">
        <v>1.6195475017711267</v>
      </c>
      <c r="T20" s="171">
        <f t="shared" si="0"/>
        <v>3.1655249591303471</v>
      </c>
      <c r="U20" s="171">
        <f t="shared" si="1"/>
        <v>1.216413235426834</v>
      </c>
    </row>
    <row r="21" spans="1:21" s="42" customFormat="1">
      <c r="A21" s="5">
        <v>21</v>
      </c>
      <c r="B21" s="28">
        <v>37.330999999999896</v>
      </c>
      <c r="C21" s="5" t="s">
        <v>121</v>
      </c>
      <c r="D21" s="5">
        <v>2</v>
      </c>
      <c r="E21" s="5">
        <v>1</v>
      </c>
      <c r="F21" s="24">
        <v>50.055999999999997</v>
      </c>
      <c r="G21" s="24">
        <v>-145.279</v>
      </c>
      <c r="H21" s="5">
        <v>11</v>
      </c>
      <c r="I21" s="25">
        <v>43326.459027777775</v>
      </c>
      <c r="J21" s="26">
        <v>43326.459027777775</v>
      </c>
      <c r="K21" s="7">
        <v>2.2348626000000005</v>
      </c>
      <c r="L21" s="7">
        <v>1.3082730410144763</v>
      </c>
      <c r="M21" s="7">
        <v>7.4237319220607487E-2</v>
      </c>
      <c r="N21" s="6">
        <v>1245.1722389079168</v>
      </c>
      <c r="O21" s="6">
        <v>53.597041100204656</v>
      </c>
      <c r="P21" s="7">
        <v>5.3045246601367619</v>
      </c>
      <c r="Q21" s="7">
        <v>1.8998610814664527</v>
      </c>
      <c r="R21" s="67">
        <v>6.6050468474047488</v>
      </c>
      <c r="S21" s="7">
        <v>2.3826771764131602</v>
      </c>
      <c r="T21" s="171">
        <f t="shared" si="0"/>
        <v>4.6701566986453331</v>
      </c>
      <c r="U21" s="171">
        <f t="shared" si="1"/>
        <v>1.7901571542198644</v>
      </c>
    </row>
    <row r="22" spans="1:21" s="42" customFormat="1">
      <c r="A22" s="5">
        <v>22</v>
      </c>
      <c r="B22" s="28">
        <v>53.027999999999999</v>
      </c>
      <c r="C22" s="5" t="s">
        <v>121</v>
      </c>
      <c r="D22" s="5">
        <v>2</v>
      </c>
      <c r="E22" s="5">
        <v>1</v>
      </c>
      <c r="F22" s="24">
        <v>50.055999999999997</v>
      </c>
      <c r="G22" s="24">
        <v>-145.279</v>
      </c>
      <c r="H22" s="5">
        <v>10</v>
      </c>
      <c r="I22" s="25">
        <v>43326.459027777775</v>
      </c>
      <c r="J22" s="26">
        <v>43326.459027777775</v>
      </c>
      <c r="K22" s="7">
        <v>2.2359629999999999</v>
      </c>
      <c r="L22" s="7">
        <v>1.5102329049068097</v>
      </c>
      <c r="M22" s="7">
        <v>6.8810279637463029E-2</v>
      </c>
      <c r="N22" s="6">
        <v>1566.4862049586304</v>
      </c>
      <c r="O22" s="6">
        <v>61.650525481035835</v>
      </c>
      <c r="P22" s="67">
        <v>5.0807363999999993</v>
      </c>
      <c r="Q22" s="7">
        <v>1.7596294638647469</v>
      </c>
      <c r="R22" s="67">
        <v>7.9589034816311734</v>
      </c>
      <c r="S22" s="7">
        <v>2.7741752890371543</v>
      </c>
      <c r="T22" s="171">
        <f t="shared" si="0"/>
        <v>5.6274129869670855</v>
      </c>
      <c r="U22" s="171">
        <f t="shared" si="1"/>
        <v>2.092750726202095</v>
      </c>
    </row>
    <row r="23" spans="1:21" s="42" customFormat="1">
      <c r="A23" s="5">
        <v>23</v>
      </c>
      <c r="B23" s="28">
        <v>68.12</v>
      </c>
      <c r="C23" s="5" t="s">
        <v>121</v>
      </c>
      <c r="D23" s="5">
        <v>2</v>
      </c>
      <c r="E23" s="5">
        <v>1</v>
      </c>
      <c r="F23" s="24">
        <v>50.055999999999997</v>
      </c>
      <c r="G23" s="24">
        <v>-145.279</v>
      </c>
      <c r="H23" s="5">
        <v>9</v>
      </c>
      <c r="I23" s="25">
        <v>43326.459027777775</v>
      </c>
      <c r="J23" s="26">
        <v>43326.459027777775</v>
      </c>
      <c r="K23" s="7">
        <v>2.2423453200000001</v>
      </c>
      <c r="L23" s="7">
        <v>1.926762024664725</v>
      </c>
      <c r="M23" s="7">
        <v>7.9839648259500268E-2</v>
      </c>
      <c r="N23" s="6">
        <v>1699.0437492146002</v>
      </c>
      <c r="O23" s="6">
        <v>70.181473184146242</v>
      </c>
      <c r="P23" s="67">
        <v>3.9684559999999989</v>
      </c>
      <c r="Q23" s="7">
        <v>1.1402918611075195</v>
      </c>
      <c r="R23" s="67">
        <v>6.7425803608331734</v>
      </c>
      <c r="S23" s="7">
        <v>1.9573221650905284</v>
      </c>
      <c r="T23" s="171">
        <f t="shared" si="0"/>
        <v>4.7674009837904654</v>
      </c>
      <c r="U23" s="171">
        <f t="shared" si="1"/>
        <v>1.5156477852782697</v>
      </c>
    </row>
    <row r="24" spans="1:21" s="42" customFormat="1">
      <c r="A24" s="5">
        <v>24</v>
      </c>
      <c r="B24" s="28">
        <v>82.238</v>
      </c>
      <c r="C24" s="5" t="s">
        <v>121</v>
      </c>
      <c r="D24" s="5">
        <v>2</v>
      </c>
      <c r="E24" s="5">
        <v>1</v>
      </c>
      <c r="F24" s="24">
        <v>50.055999999999997</v>
      </c>
      <c r="G24" s="24">
        <v>-145.279</v>
      </c>
      <c r="H24" s="5">
        <v>8</v>
      </c>
      <c r="I24" s="25">
        <v>43326.459027777775</v>
      </c>
      <c r="J24" s="26">
        <v>43326.459027777775</v>
      </c>
      <c r="K24" s="7">
        <v>2.2478001600000002</v>
      </c>
      <c r="L24" s="7">
        <v>1.8501011730223671</v>
      </c>
      <c r="M24" s="7">
        <v>8.0032157859423969E-2</v>
      </c>
      <c r="N24" s="6">
        <v>1875.0203729113925</v>
      </c>
      <c r="O24" s="6">
        <v>78.610006048023365</v>
      </c>
      <c r="P24" s="67">
        <v>2.9279593999999989</v>
      </c>
      <c r="Q24" s="7">
        <v>0.67973062926668504</v>
      </c>
      <c r="R24" s="67">
        <v>5.4899835260574159</v>
      </c>
      <c r="S24" s="7">
        <v>1.2951252564126257</v>
      </c>
      <c r="T24" s="171">
        <f t="shared" si="0"/>
        <v>3.8817413308345663</v>
      </c>
      <c r="U24" s="171">
        <f t="shared" si="1"/>
        <v>1.0448646754346886</v>
      </c>
    </row>
    <row r="25" spans="1:21" s="42" customFormat="1">
      <c r="A25" s="5">
        <v>25</v>
      </c>
      <c r="B25" s="28">
        <v>98.891000000000005</v>
      </c>
      <c r="C25" s="5" t="s">
        <v>121</v>
      </c>
      <c r="D25" s="5">
        <v>2</v>
      </c>
      <c r="E25" s="5">
        <v>1</v>
      </c>
      <c r="F25" s="24">
        <v>50.055999999999997</v>
      </c>
      <c r="G25" s="24">
        <v>-145.279</v>
      </c>
      <c r="H25" s="5">
        <v>7</v>
      </c>
      <c r="I25" s="25">
        <v>43326.459027777775</v>
      </c>
      <c r="J25" s="26">
        <v>43326.459027777775</v>
      </c>
      <c r="K25" s="7">
        <v>2.2654222800000001</v>
      </c>
      <c r="L25" s="7">
        <v>2.3362605421498364</v>
      </c>
      <c r="M25" s="7">
        <v>9.4638774314265234E-2</v>
      </c>
      <c r="N25" s="6">
        <v>1844.0481916650199</v>
      </c>
      <c r="O25" s="6">
        <v>88.835238364229127</v>
      </c>
      <c r="P25" s="67">
        <v>1.7006332999999989</v>
      </c>
      <c r="Q25" s="7">
        <v>0.28409943368279705</v>
      </c>
      <c r="R25" s="67">
        <v>3.1360497615503133</v>
      </c>
      <c r="S25" s="7">
        <v>0.54524116877816819</v>
      </c>
      <c r="T25" s="171">
        <f t="shared" si="0"/>
        <v>2.217371676469476</v>
      </c>
      <c r="U25" s="171">
        <f t="shared" si="1"/>
        <v>0.48087224801288042</v>
      </c>
    </row>
    <row r="26" spans="1:21" s="42" customFormat="1">
      <c r="A26" s="5">
        <v>26</v>
      </c>
      <c r="B26" s="28">
        <v>112.64299999999901</v>
      </c>
      <c r="C26" s="5" t="s">
        <v>121</v>
      </c>
      <c r="D26" s="5">
        <v>2</v>
      </c>
      <c r="E26" s="5">
        <v>1</v>
      </c>
      <c r="F26" s="24">
        <v>50.055999999999997</v>
      </c>
      <c r="G26" s="24">
        <v>-145.279</v>
      </c>
      <c r="H26" s="5">
        <v>6</v>
      </c>
      <c r="I26" s="25">
        <v>43326.459027777775</v>
      </c>
      <c r="J26" s="26">
        <v>43326.459027777775</v>
      </c>
      <c r="K26" s="7">
        <v>2.2749328800000002</v>
      </c>
      <c r="L26" s="7">
        <v>2.5680215151168104</v>
      </c>
      <c r="M26" s="7">
        <v>0.10226429914739608</v>
      </c>
      <c r="N26" s="6">
        <v>1722.2626889641977</v>
      </c>
      <c r="O26" s="6">
        <v>98.475285206732437</v>
      </c>
      <c r="P26" s="67">
        <v>1.4888057000000101</v>
      </c>
      <c r="Q26" s="7">
        <v>0.27791501908249377</v>
      </c>
      <c r="R26" s="67">
        <v>2.5641145082272421</v>
      </c>
      <c r="S26" s="7">
        <v>0.50059310995718309</v>
      </c>
      <c r="T26" s="171">
        <f t="shared" si="0"/>
        <v>1.8129798051918853</v>
      </c>
      <c r="U26" s="171">
        <f t="shared" si="1"/>
        <v>0.42486275806612878</v>
      </c>
    </row>
    <row r="27" spans="1:21" s="42" customFormat="1">
      <c r="A27" s="5">
        <v>27</v>
      </c>
      <c r="B27" s="28">
        <v>127.78700000000001</v>
      </c>
      <c r="C27" s="5" t="s">
        <v>121</v>
      </c>
      <c r="D27" s="5">
        <v>2</v>
      </c>
      <c r="E27" s="5">
        <v>1</v>
      </c>
      <c r="F27" s="24">
        <v>50.055999999999997</v>
      </c>
      <c r="G27" s="24">
        <v>-145.279</v>
      </c>
      <c r="H27" s="5">
        <v>5</v>
      </c>
      <c r="I27" s="25">
        <v>43326.459027777775</v>
      </c>
      <c r="J27" s="26">
        <v>43326.459027777775</v>
      </c>
      <c r="K27" s="7">
        <v>2.3066086800000001</v>
      </c>
      <c r="L27" s="7">
        <v>2.1319863589070298</v>
      </c>
      <c r="M27" s="7">
        <v>0.10167607312232872</v>
      </c>
      <c r="N27" s="6">
        <v>1809.9040184105152</v>
      </c>
      <c r="O27" s="6">
        <v>110.91199862083461</v>
      </c>
      <c r="P27" s="67">
        <v>1.3358513000000001</v>
      </c>
      <c r="Q27" s="7">
        <v>0.28773961683047078</v>
      </c>
      <c r="R27" s="67">
        <v>2.4177626358689106</v>
      </c>
      <c r="S27" s="7">
        <v>0.54144704463491133</v>
      </c>
      <c r="T27" s="171">
        <f t="shared" si="0"/>
        <v>1.7095004214957494</v>
      </c>
      <c r="U27" s="171">
        <f t="shared" si="1"/>
        <v>0.44234212412544704</v>
      </c>
    </row>
    <row r="28" spans="1:21" s="42" customFormat="1">
      <c r="A28" s="5">
        <v>28</v>
      </c>
      <c r="B28" s="28">
        <v>147.54499999999999</v>
      </c>
      <c r="C28" s="5" t="s">
        <v>121</v>
      </c>
      <c r="D28" s="5">
        <v>2</v>
      </c>
      <c r="E28" s="5">
        <v>1</v>
      </c>
      <c r="F28" s="24">
        <v>50.055999999999997</v>
      </c>
      <c r="G28" s="24">
        <v>-145.279</v>
      </c>
      <c r="H28" s="5">
        <v>4</v>
      </c>
      <c r="I28" s="25">
        <v>43326.459027777775</v>
      </c>
      <c r="J28" s="26">
        <v>43326.459027777775</v>
      </c>
      <c r="K28" s="7">
        <v>2.3276970600000002</v>
      </c>
      <c r="L28" s="7">
        <v>2.1080394447055415</v>
      </c>
      <c r="M28" s="7">
        <v>9.1924939512568207E-2</v>
      </c>
      <c r="N28" s="6">
        <v>2034.1258290027408</v>
      </c>
      <c r="O28" s="6">
        <v>145.28070112357906</v>
      </c>
      <c r="P28" s="67">
        <v>1.1362955000000003</v>
      </c>
      <c r="Q28" s="7">
        <v>0.28734511634460758</v>
      </c>
      <c r="R28" s="67">
        <v>2.3113680259295846</v>
      </c>
      <c r="S28" s="7">
        <v>0.60736127697820241</v>
      </c>
      <c r="T28" s="171">
        <f t="shared" si="0"/>
        <v>1.6342731730314735</v>
      </c>
      <c r="U28" s="171">
        <f t="shared" si="1"/>
        <v>0.47884886672822796</v>
      </c>
    </row>
    <row r="29" spans="1:21" s="42" customFormat="1">
      <c r="A29" s="5">
        <v>29</v>
      </c>
      <c r="B29" s="28">
        <v>198.773</v>
      </c>
      <c r="C29" s="5" t="s">
        <v>121</v>
      </c>
      <c r="D29" s="5">
        <v>2</v>
      </c>
      <c r="E29" s="5">
        <v>1</v>
      </c>
      <c r="F29" s="24">
        <v>50.055999999999997</v>
      </c>
      <c r="G29" s="24">
        <v>-145.279</v>
      </c>
      <c r="H29" s="5">
        <v>3</v>
      </c>
      <c r="I29" s="25">
        <v>43326.459027777775</v>
      </c>
      <c r="J29" s="26">
        <v>43326.459027777775</v>
      </c>
      <c r="K29" s="7">
        <v>2.3372391000000001</v>
      </c>
      <c r="L29" s="7">
        <v>2.0364198730090086</v>
      </c>
      <c r="M29" s="7">
        <v>0.10031314732033894</v>
      </c>
      <c r="N29" s="6">
        <v>2832.8855211779096</v>
      </c>
      <c r="O29" s="6">
        <v>303.40391528575145</v>
      </c>
      <c r="P29" s="67">
        <v>1.0289086000000001</v>
      </c>
      <c r="Q29" s="7">
        <v>6.523889020546049E-2</v>
      </c>
      <c r="R29" s="67">
        <v>2.9147802755554335</v>
      </c>
      <c r="S29" s="7">
        <v>0.36278022963025552</v>
      </c>
      <c r="T29" s="171">
        <f t="shared" si="0"/>
        <v>2.0609211324993257</v>
      </c>
      <c r="U29" s="171">
        <f t="shared" si="1"/>
        <v>0.3703557952941407</v>
      </c>
    </row>
    <row r="30" spans="1:21" s="42" customFormat="1">
      <c r="A30" s="5">
        <v>30</v>
      </c>
      <c r="B30" s="28">
        <v>332.195999999999</v>
      </c>
      <c r="C30" s="5" t="s">
        <v>121</v>
      </c>
      <c r="D30" s="5">
        <v>2</v>
      </c>
      <c r="E30" s="5">
        <v>1</v>
      </c>
      <c r="F30" s="24">
        <v>50.055999999999997</v>
      </c>
      <c r="G30" s="24">
        <v>-145.279</v>
      </c>
      <c r="H30" s="5">
        <v>2</v>
      </c>
      <c r="I30" s="25">
        <v>43326.459027777775</v>
      </c>
      <c r="J30" s="26">
        <v>43326.459027777775</v>
      </c>
      <c r="K30" s="7">
        <v>2.3529198</v>
      </c>
      <c r="L30" s="7">
        <v>2.5585787793019952</v>
      </c>
      <c r="M30" s="7">
        <v>9.833440144834818E-2</v>
      </c>
      <c r="N30" s="6">
        <v>1934.0294946753613</v>
      </c>
      <c r="O30" s="6">
        <v>526.08579200785175</v>
      </c>
      <c r="P30" s="67">
        <v>0.92912160000000044</v>
      </c>
      <c r="Q30" s="7">
        <v>0.14900854185106557</v>
      </c>
      <c r="R30" s="67">
        <v>1.7969485785399641</v>
      </c>
      <c r="S30" s="7">
        <v>0.56742828873863882</v>
      </c>
      <c r="T30" s="171">
        <f t="shared" si="0"/>
        <v>1.2705483602265462</v>
      </c>
      <c r="U30" s="171">
        <f t="shared" si="1"/>
        <v>0.43369347828932309</v>
      </c>
    </row>
    <row r="31" spans="1:21" s="42" customFormat="1">
      <c r="A31" s="5">
        <v>31</v>
      </c>
      <c r="B31" s="28">
        <v>502.71</v>
      </c>
      <c r="C31" s="5" t="s">
        <v>121</v>
      </c>
      <c r="D31" s="5">
        <v>2</v>
      </c>
      <c r="E31" s="5">
        <v>1</v>
      </c>
      <c r="F31" s="24">
        <v>50.055999999999997</v>
      </c>
      <c r="G31" s="24">
        <v>-145.279</v>
      </c>
      <c r="H31" s="5">
        <v>1</v>
      </c>
      <c r="I31" s="25">
        <v>43326.459027777775</v>
      </c>
      <c r="J31" s="26">
        <v>43326.459027777775</v>
      </c>
      <c r="K31" s="7">
        <v>2.3667298199999998</v>
      </c>
      <c r="L31" s="7">
        <v>2.0225363618176511</v>
      </c>
      <c r="M31" s="7">
        <v>8.676326006839058E-2</v>
      </c>
      <c r="N31" s="6">
        <v>2777.9888665392677</v>
      </c>
      <c r="O31" s="6">
        <v>567.47312071395334</v>
      </c>
      <c r="P31" s="68">
        <v>0.87680272990205399</v>
      </c>
      <c r="Q31" s="7">
        <v>0.15828163628098546</v>
      </c>
      <c r="R31" s="67">
        <v>2.4357482218191424</v>
      </c>
      <c r="S31" s="7">
        <v>0.66400909717592893</v>
      </c>
      <c r="T31" s="171">
        <f t="shared" si="0"/>
        <v>1.7222172888617304</v>
      </c>
      <c r="U31" s="171">
        <f t="shared" si="1"/>
        <v>0.51986671947469365</v>
      </c>
    </row>
    <row r="32" spans="1:21" s="42" customFormat="1">
      <c r="A32" s="5">
        <v>32</v>
      </c>
      <c r="B32" s="28">
        <v>7.7709999999999999</v>
      </c>
      <c r="C32" s="5" t="s">
        <v>122</v>
      </c>
      <c r="D32" s="5">
        <v>3</v>
      </c>
      <c r="E32" s="5">
        <v>1</v>
      </c>
      <c r="F32" s="24">
        <v>50.118000000000002</v>
      </c>
      <c r="G32" s="24">
        <v>-145.22300000000001</v>
      </c>
      <c r="H32" s="5">
        <v>13</v>
      </c>
      <c r="I32" s="25">
        <v>43326.551388888889</v>
      </c>
      <c r="J32" s="26">
        <v>43326.551388888889</v>
      </c>
      <c r="K32" s="7">
        <v>2.2249275600000002</v>
      </c>
      <c r="L32" s="7">
        <v>1.3815962869420169</v>
      </c>
      <c r="M32" s="7">
        <v>7.5457705053433785E-2</v>
      </c>
      <c r="N32" s="6">
        <v>368.46991902053827</v>
      </c>
      <c r="O32" s="6">
        <v>32.969125370739988</v>
      </c>
      <c r="P32" s="7">
        <v>5.3045246601367619</v>
      </c>
      <c r="Q32" s="7">
        <v>1.8998610814664527</v>
      </c>
      <c r="R32" s="67">
        <v>1.9545577719630409</v>
      </c>
      <c r="S32" s="7">
        <v>0.7215561486839851</v>
      </c>
      <c r="T32" s="171">
        <f t="shared" si="0"/>
        <v>1.3819873321881277</v>
      </c>
      <c r="U32" s="171">
        <f t="shared" si="1"/>
        <v>0.54071949040195211</v>
      </c>
    </row>
    <row r="33" spans="1:21" s="42" customFormat="1">
      <c r="A33" s="5">
        <v>33</v>
      </c>
      <c r="B33" s="28">
        <v>22.613</v>
      </c>
      <c r="C33" s="5" t="s">
        <v>122</v>
      </c>
      <c r="D33" s="5">
        <v>3</v>
      </c>
      <c r="E33" s="5">
        <v>1</v>
      </c>
      <c r="F33" s="24">
        <v>50.118000000000002</v>
      </c>
      <c r="G33" s="24">
        <v>-145.22300000000001</v>
      </c>
      <c r="H33" s="5">
        <v>12</v>
      </c>
      <c r="I33" s="25">
        <v>43326.551388888889</v>
      </c>
      <c r="J33" s="26">
        <v>43326.551388888889</v>
      </c>
      <c r="K33" s="7">
        <v>2.2253441399999998</v>
      </c>
      <c r="L33" s="7">
        <v>1.457494676393394</v>
      </c>
      <c r="M33" s="7">
        <v>7.1636631336632547E-2</v>
      </c>
      <c r="N33" s="6">
        <v>699.80851102272129</v>
      </c>
      <c r="O33" s="6">
        <v>45.194385931349885</v>
      </c>
      <c r="P33" s="7">
        <v>5.3045246601367619</v>
      </c>
      <c r="Q33" s="7">
        <v>1.8998610814664527</v>
      </c>
      <c r="R33" s="67">
        <v>3.7121515040936144</v>
      </c>
      <c r="S33" s="7">
        <v>1.3509798572630269</v>
      </c>
      <c r="T33" s="171">
        <f t="shared" si="0"/>
        <v>2.6247095007419849</v>
      </c>
      <c r="U33" s="171">
        <f t="shared" si="1"/>
        <v>1.0140043378099499</v>
      </c>
    </row>
    <row r="34" spans="1:21" s="42" customFormat="1">
      <c r="A34" s="5">
        <v>34</v>
      </c>
      <c r="B34" s="28">
        <v>37.779000000000003</v>
      </c>
      <c r="C34" s="5" t="s">
        <v>122</v>
      </c>
      <c r="D34" s="5">
        <v>3</v>
      </c>
      <c r="E34" s="5">
        <v>1</v>
      </c>
      <c r="F34" s="24">
        <v>50.118000000000002</v>
      </c>
      <c r="G34" s="24">
        <v>-145.22300000000001</v>
      </c>
      <c r="H34" s="5">
        <v>11</v>
      </c>
      <c r="I34" s="25">
        <v>43326.551388888889</v>
      </c>
      <c r="J34" s="26">
        <v>43326.551388888889</v>
      </c>
      <c r="K34" s="7">
        <v>2.2353499200000004</v>
      </c>
      <c r="L34" s="7">
        <v>1.3656691806871737</v>
      </c>
      <c r="M34" s="7">
        <v>7.3466113964237953E-2</v>
      </c>
      <c r="N34" s="6">
        <v>1080.5289439631488</v>
      </c>
      <c r="O34" s="6">
        <v>55.469638694115801</v>
      </c>
      <c r="P34" s="7">
        <v>5.3045246601367619</v>
      </c>
      <c r="Q34" s="7">
        <v>1.8998610814664527</v>
      </c>
      <c r="R34" s="67">
        <v>5.7316924292440561</v>
      </c>
      <c r="S34" s="7">
        <v>2.0738347108591877</v>
      </c>
      <c r="T34" s="171">
        <f t="shared" si="0"/>
        <v>4.0526437452183242</v>
      </c>
      <c r="U34" s="171">
        <f t="shared" si="1"/>
        <v>1.5575844428757397</v>
      </c>
    </row>
    <row r="35" spans="1:21" s="42" customFormat="1">
      <c r="A35" s="5">
        <v>35</v>
      </c>
      <c r="B35" s="28">
        <v>53.055999999999997</v>
      </c>
      <c r="C35" s="5" t="s">
        <v>122</v>
      </c>
      <c r="D35" s="5">
        <v>3</v>
      </c>
      <c r="E35" s="5">
        <v>1</v>
      </c>
      <c r="F35" s="24">
        <v>50.118000000000002</v>
      </c>
      <c r="G35" s="24">
        <v>-145.22300000000001</v>
      </c>
      <c r="H35" s="5">
        <v>10</v>
      </c>
      <c r="I35" s="25">
        <v>43326.551388888889</v>
      </c>
      <c r="J35" s="26">
        <v>43326.551388888889</v>
      </c>
      <c r="K35" s="7">
        <v>2.2370791200000002</v>
      </c>
      <c r="L35" s="7">
        <v>1.5959307402163656</v>
      </c>
      <c r="M35" s="7">
        <v>8.0483372899505537E-2</v>
      </c>
      <c r="N35" s="6">
        <v>1360.9741953289472</v>
      </c>
      <c r="O35" s="6">
        <v>65.697972095509797</v>
      </c>
      <c r="P35" s="67">
        <v>5.0786727999999997</v>
      </c>
      <c r="Q35" s="7">
        <v>1.7583588990597887</v>
      </c>
      <c r="R35" s="67">
        <v>6.9119426273190108</v>
      </c>
      <c r="S35" s="7">
        <v>2.416229519262763</v>
      </c>
      <c r="T35" s="171">
        <f t="shared" si="0"/>
        <v>4.8871500698453758</v>
      </c>
      <c r="U35" s="171">
        <f t="shared" si="1"/>
        <v>1.8220882498583242</v>
      </c>
    </row>
    <row r="36" spans="1:21" s="42" customFormat="1">
      <c r="A36" s="5">
        <v>36</v>
      </c>
      <c r="B36" s="28">
        <v>68.197000000000003</v>
      </c>
      <c r="C36" s="5" t="s">
        <v>122</v>
      </c>
      <c r="D36" s="5">
        <v>3</v>
      </c>
      <c r="E36" s="5">
        <v>1</v>
      </c>
      <c r="F36" s="24">
        <v>50.118000000000002</v>
      </c>
      <c r="G36" s="24">
        <v>-145.22300000000001</v>
      </c>
      <c r="H36" s="5">
        <v>9</v>
      </c>
      <c r="I36" s="25">
        <v>43326.551388888889</v>
      </c>
      <c r="J36" s="26">
        <v>43326.551388888889</v>
      </c>
      <c r="K36" s="7">
        <v>2.2413156600000002</v>
      </c>
      <c r="L36" s="7">
        <v>2.3408699063161098</v>
      </c>
      <c r="M36" s="7">
        <v>9.4901726045595075E-2</v>
      </c>
      <c r="N36" s="6">
        <v>1318.3171062507688</v>
      </c>
      <c r="O36" s="6">
        <v>77.264155480811041</v>
      </c>
      <c r="P36" s="67">
        <v>3.9627810999999991</v>
      </c>
      <c r="Q36" s="7">
        <v>1.1374684720987793</v>
      </c>
      <c r="R36" s="67">
        <v>5.2242021124572373</v>
      </c>
      <c r="S36" s="7">
        <v>1.5304833898335972</v>
      </c>
      <c r="T36" s="171">
        <f t="shared" si="0"/>
        <v>3.6938182353930844</v>
      </c>
      <c r="U36" s="171">
        <f t="shared" si="1"/>
        <v>1.1833390982978782</v>
      </c>
    </row>
    <row r="37" spans="1:21" s="42" customFormat="1">
      <c r="A37" s="5">
        <v>37</v>
      </c>
      <c r="B37" s="28">
        <v>82.852999999999994</v>
      </c>
      <c r="C37" s="5" t="s">
        <v>122</v>
      </c>
      <c r="D37" s="5">
        <v>3</v>
      </c>
      <c r="E37" s="5">
        <v>1</v>
      </c>
      <c r="F37" s="24">
        <v>50.118000000000002</v>
      </c>
      <c r="G37" s="24">
        <v>-145.22300000000001</v>
      </c>
      <c r="H37" s="5">
        <v>8</v>
      </c>
      <c r="I37" s="25">
        <v>43326.551388888889</v>
      </c>
      <c r="J37" s="26">
        <v>43326.551388888889</v>
      </c>
      <c r="K37" s="7">
        <v>2.2504175399999999</v>
      </c>
      <c r="L37" s="7">
        <v>2.2616564638330559</v>
      </c>
      <c r="M37" s="7">
        <v>9.3610664909123231E-2</v>
      </c>
      <c r="N37" s="6">
        <v>1313.5567150791605</v>
      </c>
      <c r="O37" s="6">
        <v>86.843955430760971</v>
      </c>
      <c r="P37" s="67">
        <v>2.8826338999999992</v>
      </c>
      <c r="Q37" s="7">
        <v>0.6622782865042196</v>
      </c>
      <c r="R37" s="67">
        <v>3.7865031164598282</v>
      </c>
      <c r="S37" s="7">
        <v>0.90524336018098372</v>
      </c>
      <c r="T37" s="171">
        <f t="shared" si="0"/>
        <v>2.677280464819793</v>
      </c>
      <c r="U37" s="171">
        <f t="shared" si="1"/>
        <v>0.7280905824721472</v>
      </c>
    </row>
    <row r="38" spans="1:21" s="42" customFormat="1">
      <c r="A38" s="5">
        <v>38</v>
      </c>
      <c r="B38" s="28">
        <v>97.652000000000001</v>
      </c>
      <c r="C38" s="5" t="s">
        <v>122</v>
      </c>
      <c r="D38" s="5">
        <v>3</v>
      </c>
      <c r="E38" s="5">
        <v>1</v>
      </c>
      <c r="F38" s="24">
        <v>50.118000000000002</v>
      </c>
      <c r="G38" s="24">
        <v>-145.22300000000001</v>
      </c>
      <c r="H38" s="5">
        <v>7</v>
      </c>
      <c r="I38" s="25">
        <v>43326.551388888889</v>
      </c>
      <c r="J38" s="26">
        <v>43326.551388888889</v>
      </c>
      <c r="K38" s="7">
        <v>2.2731958200000002</v>
      </c>
      <c r="L38" s="7">
        <v>2.7221325730021064</v>
      </c>
      <c r="M38" s="7">
        <v>0.11985725990192857</v>
      </c>
      <c r="N38" s="6">
        <v>1122.9583180359411</v>
      </c>
      <c r="O38" s="6">
        <v>100.65415515808819</v>
      </c>
      <c r="P38" s="67">
        <v>1.7919475999999994</v>
      </c>
      <c r="Q38" s="7">
        <v>0.30803280347140316</v>
      </c>
      <c r="R38" s="67">
        <v>2.0122824629045408</v>
      </c>
      <c r="S38" s="7">
        <v>0.39010843133325795</v>
      </c>
      <c r="T38" s="171">
        <f t="shared" si="0"/>
        <v>1.4228020846502698</v>
      </c>
      <c r="U38" s="171">
        <f t="shared" si="1"/>
        <v>0.33180826469692276</v>
      </c>
    </row>
    <row r="39" spans="1:21" s="42" customFormat="1">
      <c r="A39" s="5">
        <v>39</v>
      </c>
      <c r="B39" s="28">
        <v>112.377</v>
      </c>
      <c r="C39" s="5" t="s">
        <v>122</v>
      </c>
      <c r="D39" s="5">
        <v>3</v>
      </c>
      <c r="E39" s="5">
        <v>1</v>
      </c>
      <c r="F39" s="24">
        <v>50.118000000000002</v>
      </c>
      <c r="G39" s="24">
        <v>-145.22300000000001</v>
      </c>
      <c r="H39" s="5">
        <v>6</v>
      </c>
      <c r="I39" s="25">
        <v>43326.551388888889</v>
      </c>
      <c r="J39" s="26">
        <v>43326.551388888889</v>
      </c>
      <c r="K39" s="7">
        <v>2.2961941800000001</v>
      </c>
      <c r="L39" s="7">
        <v>2.6516323737270886</v>
      </c>
      <c r="M39" s="7">
        <v>0.11583583510004684</v>
      </c>
      <c r="N39" s="6">
        <v>973.37390296181411</v>
      </c>
      <c r="O39" s="6">
        <v>111.83791051088149</v>
      </c>
      <c r="P39" s="67">
        <v>1.4914923000000002</v>
      </c>
      <c r="Q39" s="7">
        <v>0.27766391609169877</v>
      </c>
      <c r="R39" s="67">
        <v>1.4517796812884931</v>
      </c>
      <c r="S39" s="7">
        <v>0.31760092281797447</v>
      </c>
      <c r="T39" s="171">
        <f t="shared" si="0"/>
        <v>1.0264936434463976</v>
      </c>
      <c r="U39" s="171">
        <f t="shared" si="1"/>
        <v>0.26102322691445012</v>
      </c>
    </row>
    <row r="40" spans="1:21" s="42" customFormat="1">
      <c r="A40" s="5">
        <v>40</v>
      </c>
      <c r="B40" s="28">
        <v>126.917999999999</v>
      </c>
      <c r="C40" s="5" t="s">
        <v>122</v>
      </c>
      <c r="D40" s="5">
        <v>3</v>
      </c>
      <c r="E40" s="5">
        <v>1</v>
      </c>
      <c r="F40" s="24">
        <v>50.118000000000002</v>
      </c>
      <c r="G40" s="24">
        <v>-145.22300000000001</v>
      </c>
      <c r="H40" s="5">
        <v>5</v>
      </c>
      <c r="I40" s="25">
        <v>43326.551388888889</v>
      </c>
      <c r="J40" s="26">
        <v>43326.551388888889</v>
      </c>
      <c r="K40" s="7">
        <v>2.31960912</v>
      </c>
      <c r="L40" s="7">
        <v>2.9356418032218552</v>
      </c>
      <c r="M40" s="7">
        <v>0.12671307852508229</v>
      </c>
      <c r="N40" s="6">
        <v>665.04321219329222</v>
      </c>
      <c r="O40" s="6">
        <v>128.56891784364538</v>
      </c>
      <c r="P40" s="67">
        <v>1.3446282000000103</v>
      </c>
      <c r="Q40" s="7">
        <v>0.28741353282597687</v>
      </c>
      <c r="R40" s="67">
        <v>0.89423585733369138</v>
      </c>
      <c r="S40" s="7">
        <v>0.25772469272983117</v>
      </c>
      <c r="T40" s="171">
        <f t="shared" si="0"/>
        <v>0.63227735938568086</v>
      </c>
      <c r="U40" s="171">
        <f t="shared" si="1"/>
        <v>0.19980937468098764</v>
      </c>
    </row>
    <row r="41" spans="1:21" s="42" customFormat="1">
      <c r="A41" s="5">
        <v>41</v>
      </c>
      <c r="B41" s="28">
        <v>147.18299999999999</v>
      </c>
      <c r="C41" s="5" t="s">
        <v>122</v>
      </c>
      <c r="D41" s="5">
        <v>3</v>
      </c>
      <c r="E41" s="5">
        <v>1</v>
      </c>
      <c r="F41" s="24">
        <v>50.118000000000002</v>
      </c>
      <c r="G41" s="24">
        <v>-145.22300000000001</v>
      </c>
      <c r="H41" s="5">
        <v>4</v>
      </c>
      <c r="I41" s="25">
        <v>43326.551388888889</v>
      </c>
      <c r="J41" s="26">
        <v>43326.551388888889</v>
      </c>
      <c r="K41" s="7">
        <v>2.3322794400000002</v>
      </c>
      <c r="L41" s="7">
        <v>2.4690168993188286</v>
      </c>
      <c r="M41" s="7">
        <v>0.10636605056003054</v>
      </c>
      <c r="N41" s="6">
        <v>527.12014065119729</v>
      </c>
      <c r="O41" s="6">
        <v>167.45372619319906</v>
      </c>
      <c r="P41" s="67">
        <v>1.1399517000000001</v>
      </c>
      <c r="Q41" s="7">
        <v>0.28748687125910677</v>
      </c>
      <c r="R41" s="67">
        <v>0.60089150043957151</v>
      </c>
      <c r="S41" s="7">
        <v>0.24372746935897793</v>
      </c>
      <c r="T41" s="171">
        <f t="shared" si="0"/>
        <v>0.42486564149647826</v>
      </c>
      <c r="U41" s="171">
        <f t="shared" si="1"/>
        <v>0.18091593393463354</v>
      </c>
    </row>
    <row r="42" spans="1:21" s="42" customFormat="1">
      <c r="A42" s="5">
        <v>42</v>
      </c>
      <c r="B42" s="28">
        <v>197.06200000000001</v>
      </c>
      <c r="C42" s="5" t="s">
        <v>122</v>
      </c>
      <c r="D42" s="5">
        <v>3</v>
      </c>
      <c r="E42" s="5">
        <v>1</v>
      </c>
      <c r="F42" s="24">
        <v>50.118000000000002</v>
      </c>
      <c r="G42" s="24">
        <v>-145.22300000000001</v>
      </c>
      <c r="H42" s="5">
        <v>3</v>
      </c>
      <c r="I42" s="25">
        <v>43326.551388888889</v>
      </c>
      <c r="J42" s="26">
        <v>43326.551388888889</v>
      </c>
      <c r="K42" s="7">
        <v>2.3373569999999999</v>
      </c>
      <c r="L42" s="7">
        <v>2.0238025410260123</v>
      </c>
      <c r="M42" s="7">
        <v>8.377244725271106E-2</v>
      </c>
      <c r="N42" s="6">
        <v>1357.7926958441412</v>
      </c>
      <c r="O42" s="6">
        <v>278.0182456453706</v>
      </c>
      <c r="P42" s="67">
        <v>1.0319883999999999</v>
      </c>
      <c r="Q42" s="7">
        <v>7.2465313170254356E-2</v>
      </c>
      <c r="R42" s="67">
        <v>1.4012263117158819</v>
      </c>
      <c r="S42" s="7">
        <v>0.30331407193847404</v>
      </c>
      <c r="T42" s="171">
        <f t="shared" si="0"/>
        <v>0.99074943708374485</v>
      </c>
      <c r="U42" s="171">
        <f t="shared" si="1"/>
        <v>0.24997342696220293</v>
      </c>
    </row>
    <row r="43" spans="1:21" s="42" customFormat="1">
      <c r="A43" s="5">
        <v>43</v>
      </c>
      <c r="B43" s="28">
        <v>331.41199999999998</v>
      </c>
      <c r="C43" s="5" t="s">
        <v>122</v>
      </c>
      <c r="D43" s="5">
        <v>3</v>
      </c>
      <c r="E43" s="5">
        <v>1</v>
      </c>
      <c r="F43" s="24">
        <v>50.118000000000002</v>
      </c>
      <c r="G43" s="24">
        <v>-145.22300000000001</v>
      </c>
      <c r="H43" s="5">
        <v>2</v>
      </c>
      <c r="I43" s="25">
        <v>43326.551388888889</v>
      </c>
      <c r="J43" s="26">
        <v>43326.551388888889</v>
      </c>
      <c r="K43" s="7">
        <v>2.3510255400000002</v>
      </c>
      <c r="L43" s="7">
        <v>2.2140266139031111</v>
      </c>
      <c r="M43" s="7">
        <v>8.9042952271485176E-2</v>
      </c>
      <c r="N43" s="6">
        <v>1955.1988576144704</v>
      </c>
      <c r="O43" s="6">
        <v>477.556706921971</v>
      </c>
      <c r="P43" s="67">
        <v>0.92943520000000002</v>
      </c>
      <c r="Q43" s="7">
        <v>0.1489706657347904</v>
      </c>
      <c r="R43" s="67">
        <v>1.817230641266677</v>
      </c>
      <c r="S43" s="7">
        <v>0.53089223183541512</v>
      </c>
      <c r="T43" s="171">
        <f t="shared" si="0"/>
        <v>1.2848889717761405</v>
      </c>
      <c r="U43" s="171">
        <f t="shared" si="1"/>
        <v>0.41066332113699289</v>
      </c>
    </row>
    <row r="44" spans="1:21" s="42" customFormat="1">
      <c r="A44" s="5">
        <v>44</v>
      </c>
      <c r="B44" s="28">
        <v>500.30699999999899</v>
      </c>
      <c r="C44" s="5" t="s">
        <v>122</v>
      </c>
      <c r="D44" s="5">
        <v>3</v>
      </c>
      <c r="E44" s="5">
        <v>1</v>
      </c>
      <c r="F44" s="24">
        <v>50.118000000000002</v>
      </c>
      <c r="G44" s="24">
        <v>-145.22300000000001</v>
      </c>
      <c r="H44" s="5">
        <v>1</v>
      </c>
      <c r="I44" s="25">
        <v>43326.551388888889</v>
      </c>
      <c r="J44" s="26">
        <v>43326.551388888889</v>
      </c>
      <c r="K44" s="7">
        <v>2.3644111200000002</v>
      </c>
      <c r="L44" s="7">
        <v>2.2561862674333479</v>
      </c>
      <c r="M44" s="7">
        <v>9.9520842216845762E-2</v>
      </c>
      <c r="N44" s="6">
        <v>2218.0456501141084</v>
      </c>
      <c r="O44" s="6">
        <v>535.24089431406912</v>
      </c>
      <c r="P44" s="68">
        <v>0.87680272990205399</v>
      </c>
      <c r="Q44" s="7">
        <v>0.15828163628098546</v>
      </c>
      <c r="R44" s="67">
        <v>1.9447884810674263</v>
      </c>
      <c r="S44" s="7">
        <v>0.58608652061497357</v>
      </c>
      <c r="T44" s="171">
        <f t="shared" si="0"/>
        <v>1.3750798687936636</v>
      </c>
      <c r="U44" s="171">
        <f t="shared" si="1"/>
        <v>0.45110603057637028</v>
      </c>
    </row>
    <row r="45" spans="1:21" s="42" customFormat="1">
      <c r="A45" s="5">
        <v>55</v>
      </c>
      <c r="B45" s="28">
        <v>4.7039999999999997</v>
      </c>
      <c r="C45" s="5" t="s">
        <v>123</v>
      </c>
      <c r="D45" s="5">
        <v>4</v>
      </c>
      <c r="E45" s="5">
        <v>1</v>
      </c>
      <c r="F45" s="24">
        <v>50.18</v>
      </c>
      <c r="G45" s="24">
        <v>-145.167</v>
      </c>
      <c r="H45" s="5">
        <v>23</v>
      </c>
      <c r="I45" s="25">
        <v>43326.667361111111</v>
      </c>
      <c r="J45" s="26">
        <v>43326.667361111111</v>
      </c>
      <c r="K45" s="7">
        <v>2.2249432800000002</v>
      </c>
      <c r="L45" s="7">
        <v>1.5785666160610323</v>
      </c>
      <c r="M45" s="7">
        <v>7.3599231078654292E-2</v>
      </c>
      <c r="N45" s="6">
        <v>184.68029711685227</v>
      </c>
      <c r="O45" s="6">
        <v>21.028494098699628</v>
      </c>
      <c r="P45" s="7">
        <v>5.3045246601367619</v>
      </c>
      <c r="Q45" s="7">
        <v>1.8998610814664527</v>
      </c>
      <c r="R45" s="67">
        <v>0.979641190297727</v>
      </c>
      <c r="S45" s="7">
        <v>0.36817133902010063</v>
      </c>
      <c r="T45" s="171">
        <f t="shared" si="0"/>
        <v>0.69266395422092331</v>
      </c>
      <c r="U45" s="171">
        <f t="shared" si="1"/>
        <v>0.27536796675585395</v>
      </c>
    </row>
    <row r="46" spans="1:21" s="42" customFormat="1">
      <c r="A46" s="5">
        <v>54</v>
      </c>
      <c r="B46" s="28">
        <v>15.164999999999999</v>
      </c>
      <c r="C46" s="5" t="s">
        <v>123</v>
      </c>
      <c r="D46" s="5">
        <v>4</v>
      </c>
      <c r="E46" s="5">
        <v>1</v>
      </c>
      <c r="F46" s="24">
        <v>50.18</v>
      </c>
      <c r="G46" s="24">
        <v>-145.167</v>
      </c>
      <c r="H46" s="5">
        <v>19</v>
      </c>
      <c r="I46" s="25">
        <v>43326.667361111111</v>
      </c>
      <c r="J46" s="26">
        <v>43326.667361111111</v>
      </c>
      <c r="K46" s="7">
        <v>2.2249275600000002</v>
      </c>
      <c r="L46" s="7">
        <v>1.4405296284730971</v>
      </c>
      <c r="M46" s="7">
        <v>7.1214476118265466E-2</v>
      </c>
      <c r="N46" s="6">
        <v>415.94680227843298</v>
      </c>
      <c r="O46" s="6">
        <v>29.716087505244634</v>
      </c>
      <c r="P46" s="7">
        <v>5.3045246601367619</v>
      </c>
      <c r="Q46" s="7">
        <v>1.8998610814664527</v>
      </c>
      <c r="R46" s="67">
        <v>2.2064000699909774</v>
      </c>
      <c r="S46" s="7">
        <v>0.80580902836576029</v>
      </c>
      <c r="T46" s="171">
        <f t="shared" si="0"/>
        <v>1.5600546528763271</v>
      </c>
      <c r="U46" s="171">
        <f t="shared" si="1"/>
        <v>0.6045774614783499</v>
      </c>
    </row>
    <row r="47" spans="1:21" s="42" customFormat="1">
      <c r="A47" s="5">
        <v>53</v>
      </c>
      <c r="B47" s="28">
        <v>25.206999999999901</v>
      </c>
      <c r="C47" s="5" t="s">
        <v>123</v>
      </c>
      <c r="D47" s="5">
        <v>4</v>
      </c>
      <c r="E47" s="5">
        <v>1</v>
      </c>
      <c r="F47" s="24">
        <v>50.18</v>
      </c>
      <c r="G47" s="24">
        <v>-145.167</v>
      </c>
      <c r="H47" s="5">
        <v>16</v>
      </c>
      <c r="I47" s="25">
        <v>43326.667361111111</v>
      </c>
      <c r="J47" s="26">
        <v>43326.667361111111</v>
      </c>
      <c r="K47" s="7">
        <v>2.2272226800000001</v>
      </c>
      <c r="L47" s="7">
        <v>1.4576655923265998</v>
      </c>
      <c r="M47" s="7">
        <v>7.0420212845360944E-2</v>
      </c>
      <c r="N47" s="6">
        <v>803.88459343601721</v>
      </c>
      <c r="O47" s="6">
        <v>46.295130806128668</v>
      </c>
      <c r="P47" s="7">
        <v>5.3045246601367619</v>
      </c>
      <c r="Q47" s="7">
        <v>1.8998610814664527</v>
      </c>
      <c r="R47" s="67">
        <v>4.2642256497853683</v>
      </c>
      <c r="S47" s="7">
        <v>1.5468862868340882</v>
      </c>
      <c r="T47" s="171">
        <f t="shared" si="0"/>
        <v>3.0150584004873817</v>
      </c>
      <c r="U47" s="171">
        <f t="shared" si="1"/>
        <v>1.1614698877652989</v>
      </c>
    </row>
    <row r="48" spans="1:21" s="42" customFormat="1">
      <c r="A48" s="5">
        <v>52</v>
      </c>
      <c r="B48" s="28">
        <v>50.220999999999997</v>
      </c>
      <c r="C48" s="5" t="s">
        <v>123</v>
      </c>
      <c r="D48" s="5">
        <v>4</v>
      </c>
      <c r="E48" s="5">
        <v>1</v>
      </c>
      <c r="F48" s="24">
        <v>50.18</v>
      </c>
      <c r="G48" s="24">
        <v>-145.167</v>
      </c>
      <c r="H48" s="5">
        <v>13</v>
      </c>
      <c r="I48" s="25">
        <v>43326.667361111111</v>
      </c>
      <c r="J48" s="26">
        <v>43326.667361111111</v>
      </c>
      <c r="K48" s="7">
        <v>2.2384703400000001</v>
      </c>
      <c r="L48" s="7">
        <v>1.5639916333229229</v>
      </c>
      <c r="M48" s="7">
        <v>6.8860658770698122E-2</v>
      </c>
      <c r="N48" s="6">
        <v>1283.7234085331743</v>
      </c>
      <c r="O48" s="6">
        <v>67.402954584229974</v>
      </c>
      <c r="P48" s="7">
        <v>5.3045246601367619</v>
      </c>
      <c r="Q48" s="7">
        <v>1.8998610814664527</v>
      </c>
      <c r="R48" s="67">
        <v>6.8095424773590425</v>
      </c>
      <c r="S48" s="7">
        <v>2.4649644425452513</v>
      </c>
      <c r="T48" s="171">
        <f t="shared" si="0"/>
        <v>4.814747139582173</v>
      </c>
      <c r="U48" s="171">
        <f t="shared" si="1"/>
        <v>1.8512506046119162</v>
      </c>
    </row>
    <row r="49" spans="1:21" s="42" customFormat="1">
      <c r="A49" s="5">
        <v>51</v>
      </c>
      <c r="B49" s="28">
        <v>74.680000000000007</v>
      </c>
      <c r="C49" s="5" t="s">
        <v>123</v>
      </c>
      <c r="D49" s="5">
        <v>4</v>
      </c>
      <c r="E49" s="5">
        <v>1</v>
      </c>
      <c r="F49" s="24">
        <v>50.18</v>
      </c>
      <c r="G49" s="24">
        <v>-145.167</v>
      </c>
      <c r="H49" s="5">
        <v>11</v>
      </c>
      <c r="I49" s="25">
        <v>43326.667361111111</v>
      </c>
      <c r="J49" s="26">
        <v>43326.667361111111</v>
      </c>
      <c r="K49" s="7">
        <v>2.2425339600000003</v>
      </c>
      <c r="L49" s="7">
        <v>2.5488777938328071</v>
      </c>
      <c r="M49" s="7">
        <v>0.10065226395823371</v>
      </c>
      <c r="N49" s="6">
        <v>1083.7262239277584</v>
      </c>
      <c r="O49" s="6">
        <v>94.133405286340633</v>
      </c>
      <c r="P49" s="67">
        <v>3.484983999999999</v>
      </c>
      <c r="Q49" s="7">
        <v>0.9120059546659196</v>
      </c>
      <c r="R49" s="67">
        <v>3.7767685507686544</v>
      </c>
      <c r="S49" s="7">
        <v>1.0413855953235462</v>
      </c>
      <c r="T49" s="171">
        <f t="shared" si="0"/>
        <v>2.6703975541877663</v>
      </c>
      <c r="U49" s="171">
        <f t="shared" si="1"/>
        <v>0.81362686042243593</v>
      </c>
    </row>
    <row r="50" spans="1:21" s="42" customFormat="1">
      <c r="A50" s="5">
        <v>50</v>
      </c>
      <c r="B50" s="28">
        <v>95.620999999999995</v>
      </c>
      <c r="C50" s="5" t="s">
        <v>123</v>
      </c>
      <c r="D50" s="5">
        <v>4</v>
      </c>
      <c r="E50" s="5">
        <v>1</v>
      </c>
      <c r="F50" s="24">
        <v>50.18</v>
      </c>
      <c r="G50" s="24">
        <v>-145.167</v>
      </c>
      <c r="H50" s="5">
        <v>9</v>
      </c>
      <c r="I50" s="25">
        <v>43326.667361111111</v>
      </c>
      <c r="J50" s="26">
        <v>43326.667361111111</v>
      </c>
      <c r="K50" s="7">
        <v>2.2470613200000003</v>
      </c>
      <c r="L50" s="7">
        <v>2.1477283089531509</v>
      </c>
      <c r="M50" s="7">
        <v>8.9816448423963677E-2</v>
      </c>
      <c r="N50" s="6">
        <v>1133.7705226920975</v>
      </c>
      <c r="O50" s="6">
        <v>104.44445644606243</v>
      </c>
      <c r="P50" s="67">
        <v>1.9416322999999993</v>
      </c>
      <c r="Q50" s="7">
        <v>0.34917832010920513</v>
      </c>
      <c r="R50" s="67">
        <v>2.2013654676468586</v>
      </c>
      <c r="S50" s="7">
        <v>0.44480587726956472</v>
      </c>
      <c r="T50" s="171">
        <f t="shared" si="0"/>
        <v>1.5564948928313791</v>
      </c>
      <c r="U50" s="171">
        <f t="shared" si="1"/>
        <v>0.37365779684955297</v>
      </c>
    </row>
    <row r="51" spans="1:21" s="42" customFormat="1">
      <c r="A51" s="5">
        <v>49</v>
      </c>
      <c r="B51" s="28">
        <v>109.715</v>
      </c>
      <c r="C51" s="5" t="s">
        <v>123</v>
      </c>
      <c r="D51" s="5">
        <v>4</v>
      </c>
      <c r="E51" s="5">
        <v>1</v>
      </c>
      <c r="F51" s="24">
        <v>50.18</v>
      </c>
      <c r="G51" s="24">
        <v>-145.167</v>
      </c>
      <c r="H51" s="5">
        <v>7</v>
      </c>
      <c r="I51" s="25">
        <v>43326.667361111111</v>
      </c>
      <c r="J51" s="26">
        <v>43326.667361111111</v>
      </c>
      <c r="K51" s="7">
        <v>2.2759625400000005</v>
      </c>
      <c r="L51" s="7">
        <v>2.5434292671355627</v>
      </c>
      <c r="M51" s="7">
        <v>0.11042403817064077</v>
      </c>
      <c r="N51" s="6">
        <v>1018.1007599121365</v>
      </c>
      <c r="O51" s="6">
        <v>114.84393974513858</v>
      </c>
      <c r="P51" s="67">
        <v>1.5183785000000001</v>
      </c>
      <c r="Q51" s="7">
        <v>0.27500166105186752</v>
      </c>
      <c r="R51" s="67">
        <v>1.5458623046842499</v>
      </c>
      <c r="S51" s="7">
        <v>0.32984185950355915</v>
      </c>
      <c r="T51" s="171">
        <f t="shared" si="0"/>
        <v>1.0930155931053105</v>
      </c>
      <c r="U51" s="171">
        <f t="shared" si="1"/>
        <v>0.27288150245261961</v>
      </c>
    </row>
    <row r="52" spans="1:21" s="42" customFormat="1">
      <c r="A52" s="5">
        <v>48</v>
      </c>
      <c r="B52" s="28">
        <v>125.69499999999999</v>
      </c>
      <c r="C52" s="5" t="s">
        <v>123</v>
      </c>
      <c r="D52" s="5">
        <v>4</v>
      </c>
      <c r="E52" s="5">
        <v>1</v>
      </c>
      <c r="F52" s="24">
        <v>50.18</v>
      </c>
      <c r="G52" s="24">
        <v>-145.167</v>
      </c>
      <c r="H52" s="5">
        <v>6</v>
      </c>
      <c r="I52" s="25">
        <v>43326.667361111111</v>
      </c>
      <c r="J52" s="26">
        <v>43326.667361111111</v>
      </c>
      <c r="K52" s="7">
        <v>2.3023171200000001</v>
      </c>
      <c r="L52" s="7">
        <v>2.3425593810696892</v>
      </c>
      <c r="M52" s="7">
        <v>0.10312293164924376</v>
      </c>
      <c r="N52" s="6">
        <v>996.03497120665759</v>
      </c>
      <c r="O52" s="6">
        <v>128.00953047270244</v>
      </c>
      <c r="P52" s="67">
        <v>1.3569805000000001</v>
      </c>
      <c r="Q52" s="7">
        <v>0.28690559328140752</v>
      </c>
      <c r="R52" s="67">
        <v>1.351600033245496</v>
      </c>
      <c r="S52" s="7">
        <v>0.33442081042496263</v>
      </c>
      <c r="T52" s="171">
        <f t="shared" si="0"/>
        <v>0.95566073867150347</v>
      </c>
      <c r="U52" s="171">
        <f t="shared" si="1"/>
        <v>0.26693954958036803</v>
      </c>
    </row>
    <row r="53" spans="1:21" s="42" customFormat="1">
      <c r="A53" s="5">
        <v>47</v>
      </c>
      <c r="B53" s="28">
        <v>147.846</v>
      </c>
      <c r="C53" s="5" t="s">
        <v>123</v>
      </c>
      <c r="D53" s="5">
        <v>4</v>
      </c>
      <c r="E53" s="5">
        <v>1</v>
      </c>
      <c r="F53" s="24">
        <v>50.18</v>
      </c>
      <c r="G53" s="24">
        <v>-145.167</v>
      </c>
      <c r="H53" s="5">
        <v>5</v>
      </c>
      <c r="I53" s="25">
        <v>43326.667361111111</v>
      </c>
      <c r="J53" s="26">
        <v>43326.667361111111</v>
      </c>
      <c r="K53" s="7">
        <v>2.3286795599999999</v>
      </c>
      <c r="L53" s="7">
        <v>2.6796933814480086</v>
      </c>
      <c r="M53" s="7">
        <v>0.10386474624875969</v>
      </c>
      <c r="N53" s="6">
        <v>634.32043022931839</v>
      </c>
      <c r="O53" s="6">
        <v>166.85949882745874</v>
      </c>
      <c r="P53" s="67">
        <v>1.1332554000000001</v>
      </c>
      <c r="Q53" s="7">
        <v>0.28722342474075485</v>
      </c>
      <c r="R53" s="67">
        <v>0.71884705288769835</v>
      </c>
      <c r="S53" s="7">
        <v>0.26258429753142676</v>
      </c>
      <c r="T53" s="171">
        <f t="shared" si="0"/>
        <v>0.50826715644931741</v>
      </c>
      <c r="U53" s="171">
        <f t="shared" si="1"/>
        <v>0.19700585600928031</v>
      </c>
    </row>
    <row r="54" spans="1:21" s="42" customFormat="1">
      <c r="A54" s="5">
        <v>46</v>
      </c>
      <c r="B54" s="28">
        <v>197.35599999999999</v>
      </c>
      <c r="C54" s="5" t="s">
        <v>123</v>
      </c>
      <c r="D54" s="5">
        <v>4</v>
      </c>
      <c r="E54" s="5">
        <v>1</v>
      </c>
      <c r="F54" s="24">
        <v>50.18</v>
      </c>
      <c r="G54" s="24">
        <v>-145.167</v>
      </c>
      <c r="H54" s="5">
        <v>3</v>
      </c>
      <c r="I54" s="25">
        <v>43326.667361111111</v>
      </c>
      <c r="J54" s="26">
        <v>43326.667361111111</v>
      </c>
      <c r="K54" s="7">
        <v>2.3358007200000004</v>
      </c>
      <c r="L54" s="7">
        <v>2.2948507826017046</v>
      </c>
      <c r="M54" s="7">
        <v>9.549891763542101E-2</v>
      </c>
      <c r="N54" s="6">
        <v>742.86736786354641</v>
      </c>
      <c r="O54" s="6">
        <v>303.18730877534455</v>
      </c>
      <c r="P54" s="67">
        <v>1.0314592</v>
      </c>
      <c r="Q54" s="7">
        <v>7.1220615676953619E-2</v>
      </c>
      <c r="R54" s="67">
        <v>0.76623738096263938</v>
      </c>
      <c r="S54" s="7">
        <v>0.31716925788500772</v>
      </c>
      <c r="T54" s="171">
        <f t="shared" si="0"/>
        <v>0.54177490639012926</v>
      </c>
      <c r="U54" s="171">
        <f t="shared" si="1"/>
        <v>0.23499631515733643</v>
      </c>
    </row>
    <row r="55" spans="1:21" s="42" customFormat="1">
      <c r="A55" s="5">
        <v>45</v>
      </c>
      <c r="B55" s="28">
        <v>332.18</v>
      </c>
      <c r="C55" s="5" t="s">
        <v>123</v>
      </c>
      <c r="D55" s="5">
        <v>4</v>
      </c>
      <c r="E55" s="5">
        <v>1</v>
      </c>
      <c r="F55" s="24">
        <v>50.18</v>
      </c>
      <c r="G55" s="24">
        <v>-145.167</v>
      </c>
      <c r="H55" s="5">
        <v>2</v>
      </c>
      <c r="I55" s="25">
        <v>43326.667361111111</v>
      </c>
      <c r="J55" s="26">
        <v>43326.667361111111</v>
      </c>
      <c r="K55" s="7">
        <v>2.3518586999999997</v>
      </c>
      <c r="L55" s="7">
        <v>2.4412809985955088</v>
      </c>
      <c r="M55" s="7">
        <v>9.4912721508223288E-2</v>
      </c>
      <c r="N55" s="6">
        <v>569.4981767071539</v>
      </c>
      <c r="O55" s="6">
        <v>354.65989694735526</v>
      </c>
      <c r="P55" s="67">
        <v>0.92912800000000006</v>
      </c>
      <c r="Q55" s="7">
        <v>0.14900776946384001</v>
      </c>
      <c r="R55" s="67">
        <v>0.52913670192756457</v>
      </c>
      <c r="S55" s="7">
        <v>0.34027564965849821</v>
      </c>
      <c r="T55" s="171">
        <f t="shared" si="0"/>
        <v>0.37413077758518515</v>
      </c>
      <c r="U55" s="171">
        <f t="shared" si="1"/>
        <v>0.24543398605164435</v>
      </c>
    </row>
    <row r="56" spans="1:21" s="42" customFormat="1">
      <c r="A56" s="5">
        <v>56</v>
      </c>
      <c r="B56" s="28">
        <v>5.8070000000000004</v>
      </c>
      <c r="C56" s="5" t="s">
        <v>124</v>
      </c>
      <c r="D56" s="5">
        <v>5</v>
      </c>
      <c r="E56" s="5">
        <v>1</v>
      </c>
      <c r="F56" s="24">
        <v>50.243000000000002</v>
      </c>
      <c r="G56" s="24">
        <v>-145.11199999999999</v>
      </c>
      <c r="H56" s="5">
        <v>13</v>
      </c>
      <c r="I56" s="25">
        <v>43326.755555555559</v>
      </c>
      <c r="J56" s="26">
        <v>43326.755555555559</v>
      </c>
      <c r="K56" s="7">
        <v>2.2305238800000002</v>
      </c>
      <c r="L56" s="7">
        <v>1.3218454710836334</v>
      </c>
      <c r="M56" s="7">
        <v>6.6056490067863016E-2</v>
      </c>
      <c r="N56" s="6">
        <v>345.69514228287051</v>
      </c>
      <c r="O56" s="6">
        <v>25.13035140776482</v>
      </c>
      <c r="P56" s="7">
        <v>5.3045246601367619</v>
      </c>
      <c r="Q56" s="7">
        <v>1.8998610814664527</v>
      </c>
      <c r="R56" s="67">
        <v>1.8337484071289731</v>
      </c>
      <c r="S56" s="7">
        <v>0.67016456866237961</v>
      </c>
      <c r="T56" s="171">
        <f t="shared" si="0"/>
        <v>1.2965680039875118</v>
      </c>
      <c r="U56" s="171">
        <f t="shared" si="1"/>
        <v>0.50276892942290052</v>
      </c>
    </row>
    <row r="57" spans="1:21" s="42" customFormat="1">
      <c r="A57" s="5">
        <v>65</v>
      </c>
      <c r="B57" s="28">
        <v>20.649000000000001</v>
      </c>
      <c r="C57" s="5" t="s">
        <v>124</v>
      </c>
      <c r="D57" s="5">
        <v>5</v>
      </c>
      <c r="E57" s="5">
        <v>1</v>
      </c>
      <c r="F57" s="24">
        <v>50.243000000000002</v>
      </c>
      <c r="G57" s="24">
        <v>-145.11199999999999</v>
      </c>
      <c r="H57" s="5">
        <v>12</v>
      </c>
      <c r="I57" s="25">
        <v>43326.755555555559</v>
      </c>
      <c r="J57" s="26">
        <v>43326.755555555559</v>
      </c>
      <c r="K57" s="7">
        <v>2.2305238800000002</v>
      </c>
      <c r="L57" s="7">
        <v>1.3177379785246117</v>
      </c>
      <c r="M57" s="7">
        <v>6.8592311871729525E-2</v>
      </c>
      <c r="N57" s="6">
        <v>927.42018760734425</v>
      </c>
      <c r="O57" s="6">
        <v>50.423022472937397</v>
      </c>
      <c r="P57" s="7">
        <v>5.3045246601367619</v>
      </c>
      <c r="Q57" s="7">
        <v>1.8998610814664527</v>
      </c>
      <c r="R57" s="67">
        <v>4.9195232554718196</v>
      </c>
      <c r="S57" s="7">
        <v>1.7821551226835042</v>
      </c>
      <c r="T57" s="171">
        <f t="shared" si="0"/>
        <v>3.4783923591261909</v>
      </c>
      <c r="U57" s="171">
        <f t="shared" si="1"/>
        <v>1.3383281213320648</v>
      </c>
    </row>
    <row r="58" spans="1:21" s="42" customFormat="1">
      <c r="A58" s="5">
        <v>63</v>
      </c>
      <c r="B58" s="28">
        <v>50.125999999999998</v>
      </c>
      <c r="C58" s="5" t="s">
        <v>124</v>
      </c>
      <c r="D58" s="5">
        <v>5</v>
      </c>
      <c r="E58" s="5">
        <v>1</v>
      </c>
      <c r="F58" s="24">
        <v>50.243000000000002</v>
      </c>
      <c r="G58" s="24">
        <v>-145.11199999999999</v>
      </c>
      <c r="H58" s="5">
        <v>10</v>
      </c>
      <c r="I58" s="25">
        <v>43326.755555555559</v>
      </c>
      <c r="J58" s="26">
        <v>43326.755555555559</v>
      </c>
      <c r="K58" s="7">
        <v>2.2386982800000004</v>
      </c>
      <c r="L58" s="7">
        <v>1.6126758261739824</v>
      </c>
      <c r="M58" s="7">
        <v>7.9716638003598267E-2</v>
      </c>
      <c r="N58" s="6">
        <v>1465.0047373516895</v>
      </c>
      <c r="O58" s="6">
        <v>85.021071660663196</v>
      </c>
      <c r="P58" s="7">
        <v>5.3045246601367619</v>
      </c>
      <c r="Q58" s="7">
        <v>1.8998610814664527</v>
      </c>
      <c r="R58" s="67">
        <v>7.771153756499217</v>
      </c>
      <c r="S58" s="7">
        <v>2.8196076230240346</v>
      </c>
      <c r="T58" s="171">
        <f t="shared" si="0"/>
        <v>5.4946628859078706</v>
      </c>
      <c r="U58" s="171">
        <f t="shared" si="1"/>
        <v>2.1170378505940191</v>
      </c>
    </row>
    <row r="59" spans="1:21" s="42" customFormat="1">
      <c r="A59" s="5">
        <v>62</v>
      </c>
      <c r="B59" s="28">
        <v>80.366</v>
      </c>
      <c r="C59" s="5" t="s">
        <v>124</v>
      </c>
      <c r="D59" s="5">
        <v>5</v>
      </c>
      <c r="E59" s="5">
        <v>1</v>
      </c>
      <c r="F59" s="24">
        <v>50.243000000000002</v>
      </c>
      <c r="G59" s="24">
        <v>-145.11199999999999</v>
      </c>
      <c r="H59" s="5">
        <v>8</v>
      </c>
      <c r="I59" s="25">
        <v>43326.755555555559</v>
      </c>
      <c r="J59" s="26">
        <v>43326.755555555559</v>
      </c>
      <c r="K59" s="7">
        <v>2.2451434800000003</v>
      </c>
      <c r="L59" s="7">
        <v>2.4828076757713524</v>
      </c>
      <c r="M59" s="7">
        <v>0.1008209558458167</v>
      </c>
      <c r="N59" s="6">
        <v>1309.7905100358075</v>
      </c>
      <c r="O59" s="6">
        <v>107.5363301915137</v>
      </c>
      <c r="P59" s="67">
        <v>3.0659257999999987</v>
      </c>
      <c r="Q59" s="7">
        <v>0.73419512357349459</v>
      </c>
      <c r="R59" s="67">
        <v>4.0157205173139392</v>
      </c>
      <c r="S59" s="7">
        <v>1.0165903810520989</v>
      </c>
      <c r="T59" s="171">
        <f t="shared" si="0"/>
        <v>2.8393506521744083</v>
      </c>
      <c r="U59" s="171">
        <f t="shared" si="1"/>
        <v>0.80753920757357212</v>
      </c>
    </row>
    <row r="60" spans="1:21" s="42" customFormat="1">
      <c r="A60" s="5">
        <v>61</v>
      </c>
      <c r="B60" s="28">
        <v>95.542000000000002</v>
      </c>
      <c r="C60" s="5" t="s">
        <v>124</v>
      </c>
      <c r="D60" s="5">
        <v>5</v>
      </c>
      <c r="E60" s="5">
        <v>1</v>
      </c>
      <c r="F60" s="24">
        <v>50.243000000000002</v>
      </c>
      <c r="G60" s="24">
        <v>-145.11199999999999</v>
      </c>
      <c r="H60" s="5">
        <v>7</v>
      </c>
      <c r="I60" s="25">
        <v>43326.755555555559</v>
      </c>
      <c r="J60" s="26">
        <v>43326.755555555559</v>
      </c>
      <c r="K60" s="7">
        <v>2.2485311399999999</v>
      </c>
      <c r="L60" s="7">
        <v>2.2325299682313391</v>
      </c>
      <c r="M60" s="7">
        <v>9.029171884987397E-2</v>
      </c>
      <c r="N60" s="6">
        <v>1316.6641932368532</v>
      </c>
      <c r="O60" s="6">
        <v>114.31749606537512</v>
      </c>
      <c r="P60" s="67">
        <v>1.9474545999999986</v>
      </c>
      <c r="Q60" s="7">
        <v>0.35082678345198098</v>
      </c>
      <c r="R60" s="67">
        <v>2.5641437397743965</v>
      </c>
      <c r="S60" s="7">
        <v>0.5127712502081474</v>
      </c>
      <c r="T60" s="171">
        <f t="shared" si="0"/>
        <v>1.813000473615427</v>
      </c>
      <c r="U60" s="171">
        <f t="shared" si="1"/>
        <v>0.43206392148658163</v>
      </c>
    </row>
    <row r="61" spans="1:21" s="42" customFormat="1">
      <c r="A61" s="5">
        <v>60</v>
      </c>
      <c r="B61" s="28">
        <v>110.238999999999</v>
      </c>
      <c r="C61" s="5" t="s">
        <v>124</v>
      </c>
      <c r="D61" s="5">
        <v>5</v>
      </c>
      <c r="E61" s="5">
        <v>1</v>
      </c>
      <c r="F61" s="24">
        <v>50.243000000000002</v>
      </c>
      <c r="G61" s="24">
        <v>-145.11199999999999</v>
      </c>
      <c r="H61" s="5">
        <v>6</v>
      </c>
      <c r="I61" s="25">
        <v>43326.755555555559</v>
      </c>
      <c r="J61" s="26">
        <v>43326.755555555559</v>
      </c>
      <c r="K61" s="7">
        <v>2.2718360400000002</v>
      </c>
      <c r="L61" s="7">
        <v>1.9426538183174795</v>
      </c>
      <c r="M61" s="7">
        <v>8.5466924481091611E-2</v>
      </c>
      <c r="N61" s="6">
        <v>1457.187040601485</v>
      </c>
      <c r="O61" s="6">
        <v>119.99837564703648</v>
      </c>
      <c r="P61" s="67">
        <v>1.5130861000000102</v>
      </c>
      <c r="Q61" s="7">
        <v>0.27554717609687529</v>
      </c>
      <c r="R61" s="67">
        <v>2.2048494562342578</v>
      </c>
      <c r="S61" s="7">
        <v>0.4406679408582474</v>
      </c>
      <c r="T61" s="171">
        <f t="shared" si="0"/>
        <v>1.5589582777271029</v>
      </c>
      <c r="U61" s="171">
        <f t="shared" si="1"/>
        <v>0.37137223042852724</v>
      </c>
    </row>
    <row r="62" spans="1:21" s="42" customFormat="1">
      <c r="A62" s="5">
        <v>59</v>
      </c>
      <c r="B62" s="28">
        <v>125.22799999999999</v>
      </c>
      <c r="C62" s="5" t="s">
        <v>124</v>
      </c>
      <c r="D62" s="5">
        <v>5</v>
      </c>
      <c r="E62" s="5">
        <v>1</v>
      </c>
      <c r="F62" s="24">
        <v>50.243000000000002</v>
      </c>
      <c r="G62" s="24">
        <v>-145.11199999999999</v>
      </c>
      <c r="H62" s="5">
        <v>5</v>
      </c>
      <c r="I62" s="25">
        <v>43326.755555555559</v>
      </c>
      <c r="J62" s="26">
        <v>43326.755555555559</v>
      </c>
      <c r="K62" s="7">
        <v>2.30043072</v>
      </c>
      <c r="L62" s="7">
        <v>2.7801669607176311</v>
      </c>
      <c r="M62" s="7">
        <v>0.1113327143389542</v>
      </c>
      <c r="N62" s="6">
        <v>1215.3770630769352</v>
      </c>
      <c r="O62" s="6">
        <v>132.47161371107615</v>
      </c>
      <c r="P62" s="67">
        <v>1.3616972000000001</v>
      </c>
      <c r="Q62" s="7">
        <v>0.28669651621535519</v>
      </c>
      <c r="R62" s="67">
        <v>1.6549755437360862</v>
      </c>
      <c r="S62" s="7">
        <v>0.39236802779393309</v>
      </c>
      <c r="T62" s="171">
        <f t="shared" si="0"/>
        <v>1.170165072290162</v>
      </c>
      <c r="U62" s="171">
        <f t="shared" si="1"/>
        <v>0.31618595930925236</v>
      </c>
    </row>
    <row r="63" spans="1:21" s="42" customFormat="1">
      <c r="A63" s="5">
        <v>58</v>
      </c>
      <c r="B63" s="28">
        <v>145.291</v>
      </c>
      <c r="C63" s="5" t="s">
        <v>124</v>
      </c>
      <c r="D63" s="5">
        <v>5</v>
      </c>
      <c r="E63" s="5">
        <v>1</v>
      </c>
      <c r="F63" s="24">
        <v>50.243000000000002</v>
      </c>
      <c r="G63" s="24">
        <v>-145.11199999999999</v>
      </c>
      <c r="H63" s="5">
        <v>4</v>
      </c>
      <c r="I63" s="25">
        <v>43326.755555555559</v>
      </c>
      <c r="J63" s="26">
        <v>43326.755555555559</v>
      </c>
      <c r="K63" s="7">
        <v>2.32228938</v>
      </c>
      <c r="L63" s="7">
        <v>2.4426376957916425</v>
      </c>
      <c r="M63" s="7">
        <v>0.10024775397074062</v>
      </c>
      <c r="N63" s="6">
        <v>1094.7778595583284</v>
      </c>
      <c r="O63" s="6">
        <v>166.25367587194486</v>
      </c>
      <c r="P63" s="67">
        <v>1.1590609000000001</v>
      </c>
      <c r="Q63" s="7">
        <v>0.28814604821734435</v>
      </c>
      <c r="R63" s="67">
        <v>1.2689142111997498</v>
      </c>
      <c r="S63" s="7">
        <v>0.36965525144765082</v>
      </c>
      <c r="T63" s="171">
        <f t="shared" si="0"/>
        <v>0.89719699804539943</v>
      </c>
      <c r="U63" s="171">
        <f t="shared" si="1"/>
        <v>0.2860747367634992</v>
      </c>
    </row>
    <row r="64" spans="1:21" s="42" customFormat="1">
      <c r="A64" s="5">
        <v>57</v>
      </c>
      <c r="B64" s="28">
        <v>194.91399999999999</v>
      </c>
      <c r="C64" s="5" t="s">
        <v>124</v>
      </c>
      <c r="D64" s="5">
        <v>5</v>
      </c>
      <c r="E64" s="5">
        <v>1</v>
      </c>
      <c r="F64" s="24">
        <v>50.243000000000002</v>
      </c>
      <c r="G64" s="24">
        <v>-145.11199999999999</v>
      </c>
      <c r="H64" s="5">
        <v>3</v>
      </c>
      <c r="I64" s="25">
        <v>43326.755555555559</v>
      </c>
      <c r="J64" s="26">
        <v>43326.755555555559</v>
      </c>
      <c r="K64" s="7">
        <v>2.3368696799999999</v>
      </c>
      <c r="L64" s="7">
        <v>2.1488116586547008</v>
      </c>
      <c r="M64" s="7">
        <v>8.8563999382339789E-2</v>
      </c>
      <c r="N64" s="6">
        <v>1599.2737603527275</v>
      </c>
      <c r="O64" s="6">
        <v>289.97922689226544</v>
      </c>
      <c r="P64" s="67">
        <v>1.0358548000000001</v>
      </c>
      <c r="Q64" s="7">
        <v>8.1596822511969661E-2</v>
      </c>
      <c r="R64" s="67">
        <v>1.6566154011754226</v>
      </c>
      <c r="S64" s="7">
        <v>0.32749821777235077</v>
      </c>
      <c r="T64" s="171">
        <f t="shared" si="0"/>
        <v>1.1713245479732375</v>
      </c>
      <c r="U64" s="171">
        <f t="shared" si="1"/>
        <v>0.2768998947678985</v>
      </c>
    </row>
    <row r="65" spans="1:21" s="42" customFormat="1">
      <c r="A65" s="5" t="s">
        <v>125</v>
      </c>
      <c r="B65" s="28">
        <v>331.846</v>
      </c>
      <c r="C65" s="5" t="s">
        <v>124</v>
      </c>
      <c r="D65" s="5">
        <v>5</v>
      </c>
      <c r="E65" s="5">
        <v>1</v>
      </c>
      <c r="F65" s="24">
        <v>50.243000000000002</v>
      </c>
      <c r="G65" s="24">
        <v>-145.11199999999999</v>
      </c>
      <c r="H65" s="5">
        <v>2</v>
      </c>
      <c r="I65" s="25">
        <v>43326.755555555559</v>
      </c>
      <c r="J65" s="26">
        <v>43326.755555555559</v>
      </c>
      <c r="K65" s="7">
        <v>2.3511591600000004</v>
      </c>
      <c r="L65" s="7">
        <v>2.4148491368990976</v>
      </c>
      <c r="M65" s="7">
        <v>6.6553702649075508E-2</v>
      </c>
      <c r="N65" s="6">
        <v>1473.8629630699018</v>
      </c>
      <c r="O65" s="6">
        <v>318.21687281609758</v>
      </c>
      <c r="P65" s="67">
        <v>0.92926160000000002</v>
      </c>
      <c r="Q65" s="7">
        <v>0.14899164022254563</v>
      </c>
      <c r="R65" s="67">
        <v>1.3696042552430778</v>
      </c>
      <c r="S65" s="7">
        <v>0.36832548711806967</v>
      </c>
      <c r="T65" s="171">
        <f t="shared" si="0"/>
        <v>0.96839078281932689</v>
      </c>
      <c r="U65" s="171">
        <f t="shared" si="1"/>
        <v>0.28910180324902601</v>
      </c>
    </row>
    <row r="66" spans="1:21" s="42" customFormat="1">
      <c r="A66" s="5">
        <v>77</v>
      </c>
      <c r="B66" s="28">
        <v>4.9589999999999996</v>
      </c>
      <c r="C66" s="5" t="s">
        <v>126</v>
      </c>
      <c r="D66" s="5">
        <v>6</v>
      </c>
      <c r="E66" s="5">
        <v>1</v>
      </c>
      <c r="F66" s="24">
        <v>50.206000000000003</v>
      </c>
      <c r="G66" s="24">
        <v>-145.01499999999999</v>
      </c>
      <c r="H66" s="5">
        <v>13</v>
      </c>
      <c r="I66" s="25">
        <v>43326.826388888891</v>
      </c>
      <c r="J66" s="26">
        <v>43326.826388888891</v>
      </c>
      <c r="K66" s="7">
        <v>2.22506118</v>
      </c>
      <c r="L66" s="7">
        <v>1.54817614932736</v>
      </c>
      <c r="M66" s="7">
        <v>7.6278165225822564E-2</v>
      </c>
      <c r="N66" s="6">
        <v>242.5614799875282</v>
      </c>
      <c r="O66" s="6">
        <v>27.334249997407426</v>
      </c>
      <c r="P66" s="7">
        <v>5.3045246601367619</v>
      </c>
      <c r="Q66" s="7">
        <v>1.8998610814664527</v>
      </c>
      <c r="R66" s="67">
        <v>1.2866733521931131</v>
      </c>
      <c r="S66" s="7">
        <v>0.48310533992306243</v>
      </c>
      <c r="T66" s="171">
        <f t="shared" si="0"/>
        <v>0.90975375550502746</v>
      </c>
      <c r="U66" s="171">
        <f t="shared" si="1"/>
        <v>0.3613672925604231</v>
      </c>
    </row>
    <row r="67" spans="1:21" s="42" customFormat="1">
      <c r="A67" s="5">
        <v>76</v>
      </c>
      <c r="B67" s="28">
        <v>19.960999999999999</v>
      </c>
      <c r="C67" s="5" t="s">
        <v>126</v>
      </c>
      <c r="D67" s="5">
        <v>6</v>
      </c>
      <c r="E67" s="5">
        <v>1</v>
      </c>
      <c r="F67" s="24">
        <v>50.206000000000003</v>
      </c>
      <c r="G67" s="24">
        <v>-145.01499999999999</v>
      </c>
      <c r="H67" s="5">
        <v>12</v>
      </c>
      <c r="I67" s="25">
        <v>43326.826388888891</v>
      </c>
      <c r="J67" s="26">
        <v>43326.826388888891</v>
      </c>
      <c r="K67" s="7">
        <v>2.2250768999999999</v>
      </c>
      <c r="L67" s="7">
        <v>1.2827633514590517</v>
      </c>
      <c r="M67" s="7">
        <v>6.3010637759596783E-2</v>
      </c>
      <c r="N67" s="6">
        <v>653.61495188547974</v>
      </c>
      <c r="O67" s="6">
        <v>38.764153220397709</v>
      </c>
      <c r="P67" s="7">
        <v>5.3045246601367619</v>
      </c>
      <c r="Q67" s="7">
        <v>1.8998610814664527</v>
      </c>
      <c r="R67" s="67">
        <v>3.4671166305106302</v>
      </c>
      <c r="S67" s="7">
        <v>1.2586871886861364</v>
      </c>
      <c r="T67" s="171">
        <f t="shared" si="0"/>
        <v>2.4514554296198514</v>
      </c>
      <c r="U67" s="171">
        <f t="shared" si="1"/>
        <v>0.94499586269385172</v>
      </c>
    </row>
    <row r="68" spans="1:21" s="42" customFormat="1">
      <c r="A68" s="5">
        <v>75</v>
      </c>
      <c r="B68" s="28">
        <v>35.293999999999997</v>
      </c>
      <c r="C68" s="5" t="s">
        <v>126</v>
      </c>
      <c r="D68" s="5">
        <v>6</v>
      </c>
      <c r="E68" s="5">
        <v>1</v>
      </c>
      <c r="F68" s="24">
        <v>50.206000000000003</v>
      </c>
      <c r="G68" s="24">
        <v>-145.01499999999999</v>
      </c>
      <c r="H68" s="5">
        <v>11</v>
      </c>
      <c r="I68" s="25">
        <v>43326.826388888891</v>
      </c>
      <c r="J68" s="26">
        <v>43326.826388888891</v>
      </c>
      <c r="K68" s="7">
        <v>2.2305396000000002</v>
      </c>
      <c r="L68" s="7">
        <v>1.580939960018811</v>
      </c>
      <c r="M68" s="7">
        <v>7.7916595708148351E-2</v>
      </c>
      <c r="N68" s="6">
        <v>940.03613932214398</v>
      </c>
      <c r="O68" s="6">
        <v>51.796932725075685</v>
      </c>
      <c r="P68" s="7">
        <v>5.3045246601367619</v>
      </c>
      <c r="Q68" s="7">
        <v>1.8998610814664527</v>
      </c>
      <c r="R68" s="67">
        <v>4.9864448824540695</v>
      </c>
      <c r="S68" s="7">
        <v>1.806949592437884</v>
      </c>
      <c r="T68" s="171">
        <f t="shared" si="0"/>
        <v>3.5257098864285443</v>
      </c>
      <c r="U68" s="171">
        <f t="shared" si="1"/>
        <v>1.3569008022638538</v>
      </c>
    </row>
    <row r="69" spans="1:21" s="42" customFormat="1">
      <c r="A69" s="5">
        <v>74</v>
      </c>
      <c r="B69" s="28">
        <v>50.622999999999998</v>
      </c>
      <c r="C69" s="5" t="s">
        <v>126</v>
      </c>
      <c r="D69" s="5">
        <v>6</v>
      </c>
      <c r="E69" s="5">
        <v>1</v>
      </c>
      <c r="F69" s="24">
        <v>50.206000000000003</v>
      </c>
      <c r="G69" s="24">
        <v>-145.01499999999999</v>
      </c>
      <c r="H69" s="5">
        <v>10</v>
      </c>
      <c r="I69" s="25">
        <v>43326.826388888891</v>
      </c>
      <c r="J69" s="26">
        <v>43326.826388888891</v>
      </c>
      <c r="K69" s="7">
        <v>2.2362774000000005</v>
      </c>
      <c r="L69" s="7">
        <v>1.8274673645471506</v>
      </c>
      <c r="M69" s="7">
        <v>8.8892538408000793E-2</v>
      </c>
      <c r="N69" s="6">
        <v>1197.3404479543046</v>
      </c>
      <c r="O69" s="6">
        <v>76.244285493927421</v>
      </c>
      <c r="P69" s="67">
        <v>5.2579848999999994</v>
      </c>
      <c r="Q69" s="7">
        <v>1.8704476442001354</v>
      </c>
      <c r="R69" s="67">
        <v>6.2955979955029688</v>
      </c>
      <c r="S69" s="7">
        <v>2.2751603384387251</v>
      </c>
      <c r="T69" s="171">
        <f t="shared" si="0"/>
        <v>4.4513581553518753</v>
      </c>
      <c r="U69" s="171">
        <f t="shared" si="1"/>
        <v>1.7090243651056396</v>
      </c>
    </row>
    <row r="70" spans="1:21" s="42" customFormat="1">
      <c r="A70" s="5">
        <v>73</v>
      </c>
      <c r="B70" s="28">
        <v>79.063000000000002</v>
      </c>
      <c r="C70" s="5" t="s">
        <v>126</v>
      </c>
      <c r="D70" s="5">
        <v>6</v>
      </c>
      <c r="E70" s="5">
        <v>1</v>
      </c>
      <c r="F70" s="24">
        <v>50.206000000000003</v>
      </c>
      <c r="G70" s="24">
        <v>-145.01499999999999</v>
      </c>
      <c r="H70" s="5">
        <v>8</v>
      </c>
      <c r="I70" s="25">
        <v>43326.826388888891</v>
      </c>
      <c r="J70" s="26">
        <v>43326.826388888891</v>
      </c>
      <c r="K70" s="7">
        <v>2.2401288000000004</v>
      </c>
      <c r="L70" s="7">
        <v>1.7650212094753552</v>
      </c>
      <c r="M70" s="7">
        <v>7.7266075494240985E-2</v>
      </c>
      <c r="N70" s="6">
        <v>1510.2482075041971</v>
      </c>
      <c r="O70" s="6">
        <v>91.666535892899063</v>
      </c>
      <c r="P70" s="67">
        <v>3.161956899999999</v>
      </c>
      <c r="Q70" s="7">
        <v>0.77329682109220743</v>
      </c>
      <c r="R70" s="67">
        <v>4.7753397404305264</v>
      </c>
      <c r="S70" s="7">
        <v>1.2033001086874293</v>
      </c>
      <c r="T70" s="171">
        <f t="shared" si="0"/>
        <v>3.3764461316185232</v>
      </c>
      <c r="U70" s="171">
        <f t="shared" si="1"/>
        <v>0.95677811274970459</v>
      </c>
    </row>
    <row r="71" spans="1:21" s="42" customFormat="1">
      <c r="A71" s="5">
        <v>72</v>
      </c>
      <c r="B71" s="28">
        <v>96.422999999999902</v>
      </c>
      <c r="C71" s="5" t="s">
        <v>126</v>
      </c>
      <c r="D71" s="5">
        <v>6</v>
      </c>
      <c r="E71" s="5">
        <v>1</v>
      </c>
      <c r="F71" s="24">
        <v>50.206000000000003</v>
      </c>
      <c r="G71" s="24">
        <v>-145.01499999999999</v>
      </c>
      <c r="H71" s="5">
        <v>7</v>
      </c>
      <c r="I71" s="25">
        <v>43326.826388888891</v>
      </c>
      <c r="J71" s="26">
        <v>43326.826388888891</v>
      </c>
      <c r="K71" s="7">
        <v>2.2547562600000002</v>
      </c>
      <c r="L71" s="7">
        <v>2.1810476096075684</v>
      </c>
      <c r="M71" s="7">
        <v>9.1611912282940772E-2</v>
      </c>
      <c r="N71" s="6">
        <v>1542.6206015563046</v>
      </c>
      <c r="O71" s="6">
        <v>100.10814701198687</v>
      </c>
      <c r="P71" s="67">
        <v>1.8825249000000062</v>
      </c>
      <c r="Q71" s="7">
        <v>0.33264684296457753</v>
      </c>
      <c r="R71" s="67">
        <v>2.9040216936827314</v>
      </c>
      <c r="S71" s="7">
        <v>0.54665933948231438</v>
      </c>
      <c r="T71" s="171">
        <f t="shared" ref="T71:T134" si="2">R71*U$1</f>
        <v>2.0533141821836796</v>
      </c>
      <c r="U71" s="171">
        <f t="shared" ref="U71:U134" si="3">((((S71/R71)^2+(V$1/U$1)^2))^0.5)*T71</f>
        <v>0.46929700092499926</v>
      </c>
    </row>
    <row r="72" spans="1:21" s="42" customFormat="1">
      <c r="A72" s="5">
        <v>71</v>
      </c>
      <c r="B72" s="28">
        <v>109.605</v>
      </c>
      <c r="C72" s="5" t="s">
        <v>126</v>
      </c>
      <c r="D72" s="5">
        <v>6</v>
      </c>
      <c r="E72" s="5">
        <v>1</v>
      </c>
      <c r="F72" s="24">
        <v>50.206000000000003</v>
      </c>
      <c r="G72" s="24">
        <v>-145.01499999999999</v>
      </c>
      <c r="H72" s="5">
        <v>6</v>
      </c>
      <c r="I72" s="25">
        <v>43326.826388888891</v>
      </c>
      <c r="J72" s="26">
        <v>43326.826388888891</v>
      </c>
      <c r="K72" s="7">
        <v>2.27556168</v>
      </c>
      <c r="L72" s="7">
        <v>2.0929374767994529</v>
      </c>
      <c r="M72" s="7">
        <v>9.3561979841573856E-2</v>
      </c>
      <c r="N72" s="6">
        <v>1620.2964534072871</v>
      </c>
      <c r="O72" s="6">
        <v>107.72777173305472</v>
      </c>
      <c r="P72" s="67">
        <v>1.5194895000000002</v>
      </c>
      <c r="Q72" s="7">
        <v>0.27488580833730758</v>
      </c>
      <c r="R72" s="67">
        <v>2.4620234478396124</v>
      </c>
      <c r="S72" s="7">
        <v>0.47452382170813445</v>
      </c>
      <c r="T72" s="171">
        <f t="shared" si="2"/>
        <v>1.7407954194401885</v>
      </c>
      <c r="U72" s="171">
        <f t="shared" si="3"/>
        <v>0.40433828025200602</v>
      </c>
    </row>
    <row r="73" spans="1:21" s="42" customFormat="1">
      <c r="A73" s="5">
        <v>70</v>
      </c>
      <c r="B73" s="28">
        <v>126.001</v>
      </c>
      <c r="C73" s="5" t="s">
        <v>126</v>
      </c>
      <c r="D73" s="5">
        <v>6</v>
      </c>
      <c r="E73" s="5">
        <v>1</v>
      </c>
      <c r="F73" s="24">
        <v>50.206000000000003</v>
      </c>
      <c r="G73" s="24">
        <v>-145.01499999999999</v>
      </c>
      <c r="H73" s="5">
        <v>5</v>
      </c>
      <c r="I73" s="25">
        <v>43326.826388888891</v>
      </c>
      <c r="J73" s="26">
        <v>43326.826388888891</v>
      </c>
      <c r="K73" s="7">
        <v>2.3041170600000003</v>
      </c>
      <c r="L73" s="7">
        <v>2.3973445422874211</v>
      </c>
      <c r="M73" s="7">
        <v>9.8302978248910447E-2</v>
      </c>
      <c r="N73" s="6">
        <v>1571.0008391451643</v>
      </c>
      <c r="O73" s="6">
        <v>119.61240569988122</v>
      </c>
      <c r="P73" s="67">
        <v>1.3538899</v>
      </c>
      <c r="Q73" s="7">
        <v>0.28703805824834033</v>
      </c>
      <c r="R73" s="67">
        <v>2.1269621690101626</v>
      </c>
      <c r="S73" s="7">
        <v>0.47913403739796867</v>
      </c>
      <c r="T73" s="171">
        <f t="shared" si="2"/>
        <v>1.5038873835196163</v>
      </c>
      <c r="U73" s="171">
        <f t="shared" si="3"/>
        <v>0.39085977343958644</v>
      </c>
    </row>
    <row r="74" spans="1:21" s="42" customFormat="1">
      <c r="A74" s="5">
        <v>69</v>
      </c>
      <c r="B74" s="28">
        <v>146.376</v>
      </c>
      <c r="C74" s="5" t="s">
        <v>126</v>
      </c>
      <c r="D74" s="5">
        <v>6</v>
      </c>
      <c r="E74" s="5">
        <v>1</v>
      </c>
      <c r="F74" s="24">
        <v>50.206000000000003</v>
      </c>
      <c r="G74" s="24">
        <v>-145.01499999999999</v>
      </c>
      <c r="H74" s="5">
        <v>4</v>
      </c>
      <c r="I74" s="25">
        <v>43326.826388888891</v>
      </c>
      <c r="J74" s="26">
        <v>43326.826388888891</v>
      </c>
      <c r="K74" s="7">
        <v>2.3270289599999998</v>
      </c>
      <c r="L74" s="7">
        <v>1.9982530999160713</v>
      </c>
      <c r="M74" s="7">
        <v>7.9925403043144716E-2</v>
      </c>
      <c r="N74" s="6">
        <v>1902.1262761866308</v>
      </c>
      <c r="O74" s="6">
        <v>144.17637745688316</v>
      </c>
      <c r="P74" s="67">
        <v>1.1481024</v>
      </c>
      <c r="Q74" s="7">
        <v>0.28778480797025285</v>
      </c>
      <c r="R74" s="67">
        <v>2.1838357427929336</v>
      </c>
      <c r="S74" s="7">
        <v>0.57188287678428407</v>
      </c>
      <c r="T74" s="171">
        <f t="shared" si="2"/>
        <v>1.5441003460789764</v>
      </c>
      <c r="U74" s="171">
        <f t="shared" si="3"/>
        <v>0.45118126268908387</v>
      </c>
    </row>
    <row r="75" spans="1:21" s="42" customFormat="1">
      <c r="A75" s="5">
        <v>68</v>
      </c>
      <c r="B75" s="28">
        <v>196.03899999999999</v>
      </c>
      <c r="C75" s="5" t="s">
        <v>126</v>
      </c>
      <c r="D75" s="5">
        <v>6</v>
      </c>
      <c r="E75" s="5">
        <v>1</v>
      </c>
      <c r="F75" s="24">
        <v>50.206000000000003</v>
      </c>
      <c r="G75" s="24">
        <v>-145.01499999999999</v>
      </c>
      <c r="H75" s="5">
        <v>3</v>
      </c>
      <c r="I75" s="25">
        <v>43326.826388888891</v>
      </c>
      <c r="J75" s="26">
        <v>43326.826388888891</v>
      </c>
      <c r="K75" s="7">
        <v>2.3371290600000001</v>
      </c>
      <c r="L75" s="7">
        <v>2.321437537243022</v>
      </c>
      <c r="M75" s="7">
        <v>9.0763649006525463E-2</v>
      </c>
      <c r="N75" s="6">
        <v>1943.3081290866846</v>
      </c>
      <c r="O75" s="6">
        <v>278.44018667085481</v>
      </c>
      <c r="P75" s="67">
        <v>1.0338298000000001</v>
      </c>
      <c r="Q75" s="7">
        <v>7.6806009250119656E-2</v>
      </c>
      <c r="R75" s="67">
        <v>2.0090498544320616</v>
      </c>
      <c r="S75" s="7">
        <v>0.32425470922349842</v>
      </c>
      <c r="T75" s="171">
        <f t="shared" si="2"/>
        <v>1.4205164402845865</v>
      </c>
      <c r="U75" s="171">
        <f t="shared" si="3"/>
        <v>0.29405608519535731</v>
      </c>
    </row>
    <row r="76" spans="1:21" s="42" customFormat="1">
      <c r="A76" s="5">
        <v>67</v>
      </c>
      <c r="B76" s="28">
        <v>328.88400000000001</v>
      </c>
      <c r="C76" s="5" t="s">
        <v>126</v>
      </c>
      <c r="D76" s="5">
        <v>6</v>
      </c>
      <c r="E76" s="5">
        <v>1</v>
      </c>
      <c r="F76" s="24">
        <v>50.206000000000003</v>
      </c>
      <c r="G76" s="24">
        <v>-145.01499999999999</v>
      </c>
      <c r="H76" s="5">
        <v>2</v>
      </c>
      <c r="I76" s="25">
        <v>43326.826388888891</v>
      </c>
      <c r="J76" s="26">
        <v>43326.826388888891</v>
      </c>
      <c r="K76" s="7">
        <v>2.3508133200000003</v>
      </c>
      <c r="L76" s="7">
        <v>2.0792678722158708</v>
      </c>
      <c r="M76" s="7">
        <v>8.2729551742841925E-2</v>
      </c>
      <c r="N76" s="6">
        <v>2462.0444121431779</v>
      </c>
      <c r="O76" s="6">
        <v>320.16452064843355</v>
      </c>
      <c r="P76" s="67">
        <v>0.93978100734870584</v>
      </c>
      <c r="Q76" s="7">
        <v>0.1503684181233878</v>
      </c>
      <c r="R76" s="67">
        <v>2.313782577781168</v>
      </c>
      <c r="S76" s="7">
        <v>0.4770636278183526</v>
      </c>
      <c r="T76" s="171">
        <f t="shared" si="2"/>
        <v>1.6359804032395875</v>
      </c>
      <c r="U76" s="171">
        <f t="shared" si="3"/>
        <v>0.39843521596596049</v>
      </c>
    </row>
    <row r="77" spans="1:21" s="42" customFormat="1">
      <c r="A77" s="5">
        <v>78</v>
      </c>
      <c r="B77" s="28">
        <v>6.2329999999999997</v>
      </c>
      <c r="C77" s="5" t="s">
        <v>127</v>
      </c>
      <c r="D77" s="5">
        <v>9</v>
      </c>
      <c r="E77" s="5">
        <v>1</v>
      </c>
      <c r="F77" s="24">
        <v>50.143999999999998</v>
      </c>
      <c r="G77" s="24">
        <v>-145.07</v>
      </c>
      <c r="H77" s="5">
        <v>13</v>
      </c>
      <c r="I77" s="25">
        <v>43327.215277777781</v>
      </c>
      <c r="J77" s="26">
        <v>43327.215277777781</v>
      </c>
      <c r="K77" s="7">
        <v>2.2249983000000002</v>
      </c>
      <c r="L77" s="7">
        <v>1.235502656463346</v>
      </c>
      <c r="M77" s="7">
        <v>6.0351863406758952E-2</v>
      </c>
      <c r="N77" s="6">
        <v>381.620368035811</v>
      </c>
      <c r="O77" s="6">
        <v>23.275999723066182</v>
      </c>
      <c r="P77" s="7">
        <v>5.3045246601367619</v>
      </c>
      <c r="Q77" s="7">
        <v>1.8998610814664527</v>
      </c>
      <c r="R77" s="67">
        <v>2.0243146530564262</v>
      </c>
      <c r="S77" s="7">
        <v>0.73546354049391116</v>
      </c>
      <c r="T77" s="171">
        <f t="shared" si="2"/>
        <v>1.4313095509461797</v>
      </c>
      <c r="U77" s="171">
        <f t="shared" si="3"/>
        <v>0.55212260478647923</v>
      </c>
    </row>
    <row r="78" spans="1:21" s="42" customFormat="1">
      <c r="A78" s="5">
        <v>79</v>
      </c>
      <c r="B78" s="28">
        <v>20.587</v>
      </c>
      <c r="C78" s="5" t="s">
        <v>127</v>
      </c>
      <c r="D78" s="5">
        <v>9</v>
      </c>
      <c r="E78" s="5">
        <v>1</v>
      </c>
      <c r="F78" s="24">
        <v>50.143999999999998</v>
      </c>
      <c r="G78" s="24">
        <v>-145.07</v>
      </c>
      <c r="H78" s="5">
        <v>12</v>
      </c>
      <c r="I78" s="25">
        <v>43327.215277777781</v>
      </c>
      <c r="J78" s="26">
        <v>43327.215277777781</v>
      </c>
      <c r="K78" s="7">
        <v>2.2248410999999999</v>
      </c>
      <c r="L78" s="7">
        <v>1.1481873228288388</v>
      </c>
      <c r="M78" s="7">
        <v>4.5259129188534156E-2</v>
      </c>
      <c r="N78" s="6">
        <v>843.4103728398303</v>
      </c>
      <c r="O78" s="6">
        <v>30.308505288251954</v>
      </c>
      <c r="P78" s="7">
        <v>5.3045246601367619</v>
      </c>
      <c r="Q78" s="7">
        <v>1.8998610814664527</v>
      </c>
      <c r="R78" s="67">
        <v>4.4738911213440202</v>
      </c>
      <c r="S78" s="7">
        <v>1.6104078440305898</v>
      </c>
      <c r="T78" s="171">
        <f t="shared" si="2"/>
        <v>3.163304223582339</v>
      </c>
      <c r="U78" s="171">
        <f t="shared" si="3"/>
        <v>1.2102341352790238</v>
      </c>
    </row>
    <row r="79" spans="1:21" s="42" customFormat="1">
      <c r="A79" s="5">
        <v>80</v>
      </c>
      <c r="B79" s="28">
        <v>36.06</v>
      </c>
      <c r="C79" s="5" t="s">
        <v>127</v>
      </c>
      <c r="D79" s="5">
        <v>9</v>
      </c>
      <c r="E79" s="5">
        <v>1</v>
      </c>
      <c r="F79" s="24">
        <v>50.143999999999998</v>
      </c>
      <c r="G79" s="24">
        <v>-145.07</v>
      </c>
      <c r="H79" s="5">
        <v>11</v>
      </c>
      <c r="I79" s="25">
        <v>43327.215277777781</v>
      </c>
      <c r="J79" s="26">
        <v>43327.215277777781</v>
      </c>
      <c r="K79" s="7">
        <v>2.2335185400000004</v>
      </c>
      <c r="L79" s="7">
        <v>1.2148939536655052</v>
      </c>
      <c r="M79" s="7">
        <v>5.2728752874109136E-2</v>
      </c>
      <c r="N79" s="6">
        <v>1280.7210852595654</v>
      </c>
      <c r="O79" s="6">
        <v>37.829222757700933</v>
      </c>
      <c r="P79" s="7">
        <v>5.3045246601367619</v>
      </c>
      <c r="Q79" s="7">
        <v>1.8998610814664527</v>
      </c>
      <c r="R79" s="67">
        <v>6.7936165795164802</v>
      </c>
      <c r="S79" s="7">
        <v>2.4414526170799116</v>
      </c>
      <c r="T79" s="171">
        <f t="shared" si="2"/>
        <v>4.803486592880585</v>
      </c>
      <c r="U79" s="171">
        <f t="shared" si="3"/>
        <v>1.8351123598446204</v>
      </c>
    </row>
    <row r="80" spans="1:21" s="42" customFormat="1">
      <c r="A80" s="5">
        <v>81</v>
      </c>
      <c r="B80" s="28">
        <v>50.442</v>
      </c>
      <c r="C80" s="5" t="s">
        <v>127</v>
      </c>
      <c r="D80" s="5">
        <v>9</v>
      </c>
      <c r="E80" s="5">
        <v>1</v>
      </c>
      <c r="F80" s="24">
        <v>50.143999999999998</v>
      </c>
      <c r="G80" s="24">
        <v>-145.07</v>
      </c>
      <c r="H80" s="5">
        <v>10</v>
      </c>
      <c r="I80" s="25">
        <v>43327.215277777781</v>
      </c>
      <c r="J80" s="26">
        <v>43327.215277777781</v>
      </c>
      <c r="K80" s="7">
        <v>2.2356014400000004</v>
      </c>
      <c r="L80" s="7">
        <v>1.380356370358208</v>
      </c>
      <c r="M80" s="7">
        <v>6.1431023205756281E-2</v>
      </c>
      <c r="N80" s="6">
        <v>1646.91896130431</v>
      </c>
      <c r="O80" s="6">
        <v>46.075182643150569</v>
      </c>
      <c r="P80" s="7">
        <v>5.3045246601367619</v>
      </c>
      <c r="Q80" s="7">
        <v>1.8998610814664527</v>
      </c>
      <c r="R80" s="67">
        <v>8.7361222434855339</v>
      </c>
      <c r="S80" s="7">
        <v>3.1384483174847486</v>
      </c>
      <c r="T80" s="171">
        <f t="shared" si="2"/>
        <v>6.1769523756866622</v>
      </c>
      <c r="U80" s="171">
        <f t="shared" si="3"/>
        <v>2.3591020571628079</v>
      </c>
    </row>
    <row r="81" spans="1:21" s="42" customFormat="1">
      <c r="A81" s="5">
        <v>82</v>
      </c>
      <c r="B81" s="28">
        <v>65.835999999999999</v>
      </c>
      <c r="C81" s="5" t="s">
        <v>127</v>
      </c>
      <c r="D81" s="5">
        <v>9</v>
      </c>
      <c r="E81" s="5">
        <v>1</v>
      </c>
      <c r="F81" s="24">
        <v>50.143999999999998</v>
      </c>
      <c r="G81" s="24">
        <v>-145.07</v>
      </c>
      <c r="H81" s="5">
        <v>9</v>
      </c>
      <c r="I81" s="25">
        <v>43327.215277777781</v>
      </c>
      <c r="J81" s="26">
        <v>43327.215277777781</v>
      </c>
      <c r="K81" s="7">
        <v>2.2401838199999999</v>
      </c>
      <c r="L81" s="7">
        <v>1.4579607023065573</v>
      </c>
      <c r="M81" s="7">
        <v>5.2811491368421226E-2</v>
      </c>
      <c r="N81" s="6">
        <v>2004.9995219823409</v>
      </c>
      <c r="O81" s="6">
        <v>52.032542751640996</v>
      </c>
      <c r="P81" s="67">
        <v>4.1367867999999994</v>
      </c>
      <c r="Q81" s="7">
        <v>1.2255937292713965</v>
      </c>
      <c r="R81" s="67">
        <v>8.294255556542856</v>
      </c>
      <c r="S81" s="7">
        <v>2.4667240889900728</v>
      </c>
      <c r="T81" s="171">
        <f t="shared" si="2"/>
        <v>5.8645266328254451</v>
      </c>
      <c r="U81" s="171">
        <f t="shared" si="3"/>
        <v>1.9025877083794698</v>
      </c>
    </row>
    <row r="82" spans="1:21" s="42" customFormat="1">
      <c r="A82" s="5">
        <v>83</v>
      </c>
      <c r="B82" s="28">
        <v>82.275999999999996</v>
      </c>
      <c r="C82" s="5" t="s">
        <v>127</v>
      </c>
      <c r="D82" s="5">
        <v>9</v>
      </c>
      <c r="E82" s="5">
        <v>1</v>
      </c>
      <c r="F82" s="24">
        <v>50.143999999999998</v>
      </c>
      <c r="G82" s="24">
        <v>-145.07</v>
      </c>
      <c r="H82" s="5">
        <v>8</v>
      </c>
      <c r="I82" s="25">
        <v>43327.215277777781</v>
      </c>
      <c r="J82" s="26">
        <v>43327.215277777781</v>
      </c>
      <c r="K82" s="7">
        <v>2.2438387200000003</v>
      </c>
      <c r="L82" s="7">
        <v>1.9469400586759833</v>
      </c>
      <c r="M82" s="7">
        <v>8.8062205350707135E-2</v>
      </c>
      <c r="N82" s="6">
        <v>2137.2955049916131</v>
      </c>
      <c r="O82" s="6">
        <v>65.170206766095077</v>
      </c>
      <c r="P82" s="67">
        <v>2.9251587999999993</v>
      </c>
      <c r="Q82" s="7">
        <v>0.67864595639482062</v>
      </c>
      <c r="R82" s="67">
        <v>6.2519287546266593</v>
      </c>
      <c r="S82" s="7">
        <v>1.4629406677936776</v>
      </c>
      <c r="T82" s="171">
        <f t="shared" si="2"/>
        <v>4.420481432973534</v>
      </c>
      <c r="U82" s="171">
        <f t="shared" si="3"/>
        <v>1.182492185250795</v>
      </c>
    </row>
    <row r="83" spans="1:21" s="42" customFormat="1">
      <c r="A83" s="5">
        <v>84</v>
      </c>
      <c r="B83" s="28">
        <v>96.822999999999993</v>
      </c>
      <c r="C83" s="5" t="s">
        <v>127</v>
      </c>
      <c r="D83" s="5">
        <v>9</v>
      </c>
      <c r="E83" s="5">
        <v>1</v>
      </c>
      <c r="F83" s="24">
        <v>50.143999999999998</v>
      </c>
      <c r="G83" s="24">
        <v>-145.07</v>
      </c>
      <c r="H83" s="5">
        <v>7</v>
      </c>
      <c r="I83" s="25">
        <v>43327.215277777781</v>
      </c>
      <c r="J83" s="26">
        <v>43327.215277777781</v>
      </c>
      <c r="K83" s="7">
        <v>2.2511799600000004</v>
      </c>
      <c r="L83" s="7">
        <v>1.9942313203944</v>
      </c>
      <c r="M83" s="7">
        <v>6.7551166476688587E-2</v>
      </c>
      <c r="N83" s="6">
        <v>2245.7525339473846</v>
      </c>
      <c r="O83" s="6">
        <v>71.134745087522091</v>
      </c>
      <c r="P83" s="67">
        <v>1.8530448999999996</v>
      </c>
      <c r="Q83" s="7">
        <v>0.32454023246529567</v>
      </c>
      <c r="R83" s="67">
        <v>4.1614802796932775</v>
      </c>
      <c r="S83" s="7">
        <v>0.74066110329912482</v>
      </c>
      <c r="T83" s="171">
        <f t="shared" si="2"/>
        <v>2.9424113792813307</v>
      </c>
      <c r="U83" s="171">
        <f t="shared" si="3"/>
        <v>0.64786274447102699</v>
      </c>
    </row>
    <row r="84" spans="1:21" s="42" customFormat="1">
      <c r="A84" s="5">
        <v>85</v>
      </c>
      <c r="B84" s="28">
        <v>111.628999999999</v>
      </c>
      <c r="C84" s="5" t="s">
        <v>127</v>
      </c>
      <c r="D84" s="5">
        <v>9</v>
      </c>
      <c r="E84" s="5">
        <v>1</v>
      </c>
      <c r="F84" s="24">
        <v>50.143999999999998</v>
      </c>
      <c r="G84" s="24">
        <v>-145.07</v>
      </c>
      <c r="H84" s="5">
        <v>6</v>
      </c>
      <c r="I84" s="25">
        <v>43327.215277777781</v>
      </c>
      <c r="J84" s="26">
        <v>43327.215277777781</v>
      </c>
      <c r="K84" s="7">
        <v>2.2896075000000002</v>
      </c>
      <c r="L84" s="7">
        <v>2.3711934136385873</v>
      </c>
      <c r="M84" s="7">
        <v>0.10177012793955398</v>
      </c>
      <c r="N84" s="6">
        <v>2210.6701717311958</v>
      </c>
      <c r="O84" s="6">
        <v>83.517880899157277</v>
      </c>
      <c r="P84" s="67">
        <v>1.4990471000000103</v>
      </c>
      <c r="Q84" s="7">
        <v>0.27694327483363135</v>
      </c>
      <c r="R84" s="67">
        <v>3.3138987099901738</v>
      </c>
      <c r="S84" s="7">
        <v>0.62490016099496859</v>
      </c>
      <c r="T84" s="171">
        <f t="shared" si="2"/>
        <v>2.3431213459407521</v>
      </c>
      <c r="U84" s="171">
        <f t="shared" si="3"/>
        <v>0.5361659641790798</v>
      </c>
    </row>
    <row r="85" spans="1:21" s="42" customFormat="1">
      <c r="A85" s="5">
        <v>86</v>
      </c>
      <c r="B85" s="28">
        <v>126.726</v>
      </c>
      <c r="C85" s="5" t="s">
        <v>127</v>
      </c>
      <c r="D85" s="5">
        <v>9</v>
      </c>
      <c r="E85" s="5">
        <v>1</v>
      </c>
      <c r="F85" s="24">
        <v>50.143999999999998</v>
      </c>
      <c r="G85" s="24">
        <v>-145.07</v>
      </c>
      <c r="H85" s="5">
        <v>5</v>
      </c>
      <c r="I85" s="25">
        <v>43327.215277777781</v>
      </c>
      <c r="J85" s="26">
        <v>43327.215277777781</v>
      </c>
      <c r="K85" s="7">
        <v>2.3125508400000001</v>
      </c>
      <c r="L85" s="7">
        <v>2.2496194686603896</v>
      </c>
      <c r="M85" s="7">
        <v>9.885588236299131E-2</v>
      </c>
      <c r="N85" s="6">
        <v>2242.3353863483435</v>
      </c>
      <c r="O85" s="6">
        <v>97.208232598897922</v>
      </c>
      <c r="P85" s="67">
        <v>1.3465674000000001</v>
      </c>
      <c r="Q85" s="7">
        <v>0.28733758358696282</v>
      </c>
      <c r="R85" s="67">
        <v>3.0194557311230845</v>
      </c>
      <c r="S85" s="7">
        <v>0.65746935106536353</v>
      </c>
      <c r="T85" s="171">
        <f t="shared" si="2"/>
        <v>2.1349328376842931</v>
      </c>
      <c r="U85" s="171">
        <f t="shared" si="3"/>
        <v>0.54100757267882293</v>
      </c>
    </row>
    <row r="86" spans="1:21" s="42" customFormat="1">
      <c r="A86" s="5">
        <v>87</v>
      </c>
      <c r="B86" s="28">
        <v>146.62</v>
      </c>
      <c r="C86" s="5" t="s">
        <v>127</v>
      </c>
      <c r="D86" s="5">
        <v>9</v>
      </c>
      <c r="E86" s="5">
        <v>1</v>
      </c>
      <c r="F86" s="24">
        <v>50.143999999999998</v>
      </c>
      <c r="G86" s="24">
        <v>-145.07</v>
      </c>
      <c r="H86" s="5">
        <v>4</v>
      </c>
      <c r="I86" s="25">
        <v>43327.215277777781</v>
      </c>
      <c r="J86" s="26">
        <v>43327.215277777781</v>
      </c>
      <c r="K86" s="7">
        <v>2.32971708</v>
      </c>
      <c r="L86" s="7">
        <v>2.6718930377508769</v>
      </c>
      <c r="M86" s="7">
        <v>9.9499333882352922E-2</v>
      </c>
      <c r="N86" s="6">
        <v>1899.5592724981288</v>
      </c>
      <c r="O86" s="6">
        <v>139.22757200998453</v>
      </c>
      <c r="P86" s="67">
        <v>1.1456380000000002</v>
      </c>
      <c r="Q86" s="7">
        <v>0.28769735750132003</v>
      </c>
      <c r="R86" s="67">
        <v>2.1762072858262118</v>
      </c>
      <c r="S86" s="7">
        <v>0.56929949662332868</v>
      </c>
      <c r="T86" s="171">
        <f t="shared" si="2"/>
        <v>1.53870657821835</v>
      </c>
      <c r="U86" s="171">
        <f t="shared" si="3"/>
        <v>0.44923410811116188</v>
      </c>
    </row>
    <row r="87" spans="1:21" s="42" customFormat="1">
      <c r="A87" s="5">
        <v>88</v>
      </c>
      <c r="B87" s="28">
        <v>196.38900000000001</v>
      </c>
      <c r="C87" s="5" t="s">
        <v>127</v>
      </c>
      <c r="D87" s="5">
        <v>9</v>
      </c>
      <c r="E87" s="5">
        <v>1</v>
      </c>
      <c r="F87" s="24">
        <v>50.143999999999998</v>
      </c>
      <c r="G87" s="24">
        <v>-145.07</v>
      </c>
      <c r="H87" s="5">
        <v>3</v>
      </c>
      <c r="I87" s="25">
        <v>43327.215277777781</v>
      </c>
      <c r="J87" s="26">
        <v>43327.215277777781</v>
      </c>
      <c r="K87" s="7">
        <v>2.3359500600000001</v>
      </c>
      <c r="L87" s="7">
        <v>2.4399892959769476</v>
      </c>
      <c r="M87" s="7">
        <v>9.2360780352180011E-2</v>
      </c>
      <c r="N87" s="6">
        <v>1624.0508763573616</v>
      </c>
      <c r="O87" s="6">
        <v>281.43362989233418</v>
      </c>
      <c r="P87" s="67">
        <v>1.0331998</v>
      </c>
      <c r="Q87" s="7">
        <v>7.5319234286599646E-2</v>
      </c>
      <c r="R87" s="67">
        <v>1.6779690406422507</v>
      </c>
      <c r="S87" s="7">
        <v>0.31545855515508958</v>
      </c>
      <c r="T87" s="171">
        <f t="shared" si="2"/>
        <v>1.1864228273193784</v>
      </c>
      <c r="U87" s="171">
        <f t="shared" si="3"/>
        <v>0.27092752827331262</v>
      </c>
    </row>
    <row r="88" spans="1:21" s="42" customFormat="1">
      <c r="A88" s="5">
        <v>89</v>
      </c>
      <c r="B88" s="28">
        <v>330.77300000000002</v>
      </c>
      <c r="C88" s="5" t="s">
        <v>127</v>
      </c>
      <c r="D88" s="5">
        <v>9</v>
      </c>
      <c r="E88" s="5">
        <v>1</v>
      </c>
      <c r="F88" s="24">
        <v>50.143999999999998</v>
      </c>
      <c r="G88" s="24">
        <v>-145.07</v>
      </c>
      <c r="H88" s="5">
        <v>2</v>
      </c>
      <c r="I88" s="25">
        <v>43327.215277777781</v>
      </c>
      <c r="J88" s="26">
        <v>43327.215277777781</v>
      </c>
      <c r="K88" s="7">
        <v>2.3518429799999998</v>
      </c>
      <c r="L88" s="7">
        <v>2.2844789365999159</v>
      </c>
      <c r="M88" s="7">
        <v>7.7354616394813377E-2</v>
      </c>
      <c r="N88" s="6">
        <v>1918.7482209443406</v>
      </c>
      <c r="O88" s="6">
        <v>440.13808668795713</v>
      </c>
      <c r="P88" s="67">
        <v>0.92969080000000004</v>
      </c>
      <c r="Q88" s="7">
        <v>0.14893975075759641</v>
      </c>
      <c r="R88" s="67">
        <v>1.7838425685283208</v>
      </c>
      <c r="S88" s="7">
        <v>0.49910656236000456</v>
      </c>
      <c r="T88" s="171">
        <f t="shared" si="2"/>
        <v>1.2612816401165385</v>
      </c>
      <c r="U88" s="171">
        <f t="shared" si="3"/>
        <v>0.38893058884006537</v>
      </c>
    </row>
    <row r="89" spans="1:21" s="42" customFormat="1">
      <c r="A89" s="5">
        <v>90</v>
      </c>
      <c r="B89" s="28">
        <v>500.61</v>
      </c>
      <c r="C89" s="5" t="s">
        <v>127</v>
      </c>
      <c r="D89" s="5">
        <v>9</v>
      </c>
      <c r="E89" s="5">
        <v>1</v>
      </c>
      <c r="F89" s="24">
        <v>50.143999999999998</v>
      </c>
      <c r="G89" s="24">
        <v>-145.07</v>
      </c>
      <c r="H89" s="5">
        <v>1</v>
      </c>
      <c r="I89" s="25">
        <v>43327.215277777781</v>
      </c>
      <c r="J89" s="26">
        <v>43327.215277777781</v>
      </c>
      <c r="K89" s="7">
        <v>2.3645604599999999</v>
      </c>
      <c r="L89" s="7">
        <v>2.5486368289436649</v>
      </c>
      <c r="M89" s="7">
        <v>0.1055907163960621</v>
      </c>
      <c r="N89" s="6">
        <v>1469.1865933888785</v>
      </c>
      <c r="O89" s="6">
        <v>510.1209723471718</v>
      </c>
      <c r="P89" s="68">
        <v>0.87680272990205399</v>
      </c>
      <c r="Q89" s="7">
        <v>0.15828163628098546</v>
      </c>
      <c r="R89" s="67">
        <v>1.2881868158188676</v>
      </c>
      <c r="S89" s="7">
        <v>0.5041156961976978</v>
      </c>
      <c r="T89" s="171">
        <f t="shared" si="2"/>
        <v>0.91082386332610232</v>
      </c>
      <c r="U89" s="171">
        <f t="shared" si="3"/>
        <v>0.37548446261777524</v>
      </c>
    </row>
    <row r="90" spans="1:21" s="42" customFormat="1">
      <c r="A90" s="5">
        <v>133</v>
      </c>
      <c r="B90" s="28">
        <v>4.8959999999999999</v>
      </c>
      <c r="C90" s="5" t="s">
        <v>128</v>
      </c>
      <c r="D90" s="5">
        <v>10</v>
      </c>
      <c r="E90" s="5">
        <v>1</v>
      </c>
      <c r="F90" s="24">
        <v>50.17</v>
      </c>
      <c r="G90" s="24">
        <v>-144.91800000000001</v>
      </c>
      <c r="H90" s="5">
        <v>23</v>
      </c>
      <c r="I90" s="25">
        <v>43327.655555555553</v>
      </c>
      <c r="J90" s="26">
        <v>43327.655555555553</v>
      </c>
      <c r="K90" s="7">
        <v>2.2243773600000001</v>
      </c>
      <c r="L90" s="7">
        <v>1.0334580421009205</v>
      </c>
      <c r="M90" s="7">
        <v>5.9359879664737297E-2</v>
      </c>
      <c r="N90" s="6">
        <v>521.26352761028932</v>
      </c>
      <c r="O90" s="6">
        <v>25.981726727843157</v>
      </c>
      <c r="P90" s="7">
        <v>5.3045246601367619</v>
      </c>
      <c r="Q90" s="7">
        <v>1.8998610814664527</v>
      </c>
      <c r="R90" s="67">
        <v>2.7650552366386596</v>
      </c>
      <c r="S90" s="7">
        <v>0.9998723262102418</v>
      </c>
      <c r="T90" s="171">
        <f t="shared" si="2"/>
        <v>1.9550567216016423</v>
      </c>
      <c r="U90" s="171">
        <f t="shared" si="3"/>
        <v>0.75101830394584246</v>
      </c>
    </row>
    <row r="91" spans="1:21" s="42" customFormat="1">
      <c r="A91" s="5">
        <v>131</v>
      </c>
      <c r="B91" s="28">
        <v>25.541999999999899</v>
      </c>
      <c r="C91" s="5" t="s">
        <v>128</v>
      </c>
      <c r="D91" s="5">
        <v>10</v>
      </c>
      <c r="E91" s="5">
        <v>1</v>
      </c>
      <c r="F91" s="24">
        <v>50.17</v>
      </c>
      <c r="G91" s="24">
        <v>-144.91800000000001</v>
      </c>
      <c r="H91" s="5">
        <v>16</v>
      </c>
      <c r="I91" s="25">
        <v>43327.655555555553</v>
      </c>
      <c r="J91" s="26">
        <v>43327.655555555553</v>
      </c>
      <c r="K91" s="7">
        <v>2.2245502800000003</v>
      </c>
      <c r="L91" s="7">
        <v>1.4655238205469976</v>
      </c>
      <c r="M91" s="7">
        <v>7.2853410396447216E-2</v>
      </c>
      <c r="N91" s="6">
        <v>1019.6442326441897</v>
      </c>
      <c r="O91" s="6">
        <v>54.436440018933098</v>
      </c>
      <c r="P91" s="7">
        <v>5.3045246601367619</v>
      </c>
      <c r="Q91" s="7">
        <v>1.8998610814664527</v>
      </c>
      <c r="R91" s="67">
        <v>5.4087279766273308</v>
      </c>
      <c r="S91" s="7">
        <v>1.9585856231072594</v>
      </c>
      <c r="T91" s="171">
        <f t="shared" si="2"/>
        <v>3.8242888770912407</v>
      </c>
      <c r="U91" s="171">
        <f t="shared" si="3"/>
        <v>1.4708877801957925</v>
      </c>
    </row>
    <row r="92" spans="1:21" s="42" customFormat="1">
      <c r="A92" s="5">
        <v>130</v>
      </c>
      <c r="B92" s="28">
        <v>50.556999999999903</v>
      </c>
      <c r="C92" s="5" t="s">
        <v>128</v>
      </c>
      <c r="D92" s="5">
        <v>10</v>
      </c>
      <c r="E92" s="5">
        <v>1</v>
      </c>
      <c r="F92" s="24">
        <v>50.17</v>
      </c>
      <c r="G92" s="24">
        <v>-144.91800000000001</v>
      </c>
      <c r="H92" s="5">
        <v>13</v>
      </c>
      <c r="I92" s="25">
        <v>43327.655555555553</v>
      </c>
      <c r="J92" s="26">
        <v>43327.655555555553</v>
      </c>
      <c r="K92" s="7">
        <v>2.2366939800000001</v>
      </c>
      <c r="L92" s="7">
        <v>1.8012583485148603</v>
      </c>
      <c r="M92" s="7">
        <v>8.2729955144242306E-2</v>
      </c>
      <c r="N92" s="6">
        <v>1332.2528343534491</v>
      </c>
      <c r="O92" s="6">
        <v>80.566291497017232</v>
      </c>
      <c r="P92" s="67">
        <v>5.2628491000000057</v>
      </c>
      <c r="Q92" s="7">
        <v>1.8735357923845359</v>
      </c>
      <c r="R92" s="67">
        <v>7.0114456302495061</v>
      </c>
      <c r="S92" s="7">
        <v>2.5317811210712891</v>
      </c>
      <c r="T92" s="171">
        <f t="shared" si="2"/>
        <v>4.9575045467184307</v>
      </c>
      <c r="U92" s="171">
        <f t="shared" si="3"/>
        <v>1.9019673728622639</v>
      </c>
    </row>
    <row r="93" spans="1:21" s="42" customFormat="1">
      <c r="A93" s="5">
        <v>129</v>
      </c>
      <c r="B93" s="28">
        <v>75.466999999999999</v>
      </c>
      <c r="C93" s="5" t="s">
        <v>128</v>
      </c>
      <c r="D93" s="5">
        <v>10</v>
      </c>
      <c r="E93" s="5">
        <v>1</v>
      </c>
      <c r="F93" s="24">
        <v>50.17</v>
      </c>
      <c r="G93" s="24">
        <v>-144.91800000000001</v>
      </c>
      <c r="H93" s="5">
        <v>11</v>
      </c>
      <c r="I93" s="25">
        <v>43327.655555555553</v>
      </c>
      <c r="J93" s="26">
        <v>43327.655555555553</v>
      </c>
      <c r="K93" s="7">
        <v>2.2435793400000006</v>
      </c>
      <c r="L93" s="7">
        <v>2.1768712245057711</v>
      </c>
      <c r="M93" s="7">
        <v>9.2101485593935745E-2</v>
      </c>
      <c r="N93" s="6">
        <v>1375.4398004064817</v>
      </c>
      <c r="O93" s="6">
        <v>100.23107694947949</v>
      </c>
      <c r="P93" s="67">
        <v>3.4269820999999991</v>
      </c>
      <c r="Q93" s="7">
        <v>0.88628438693000344</v>
      </c>
      <c r="R93" s="67">
        <v>4.7136075756205846</v>
      </c>
      <c r="S93" s="7">
        <v>1.2664997410425201</v>
      </c>
      <c r="T93" s="171">
        <f t="shared" si="2"/>
        <v>3.3327978593701131</v>
      </c>
      <c r="U93" s="171">
        <f t="shared" si="3"/>
        <v>0.99425267601443879</v>
      </c>
    </row>
    <row r="94" spans="1:21" s="42" customFormat="1">
      <c r="A94" s="5">
        <v>128</v>
      </c>
      <c r="B94" s="28">
        <v>95.577999999999903</v>
      </c>
      <c r="C94" s="5" t="s">
        <v>128</v>
      </c>
      <c r="D94" s="5">
        <v>10</v>
      </c>
      <c r="E94" s="5">
        <v>1</v>
      </c>
      <c r="F94" s="24">
        <v>50.17</v>
      </c>
      <c r="G94" s="24">
        <v>-144.91800000000001</v>
      </c>
      <c r="H94" s="5">
        <v>9</v>
      </c>
      <c r="I94" s="25">
        <v>43327.655555555553</v>
      </c>
      <c r="J94" s="26">
        <v>43327.655555555553</v>
      </c>
      <c r="K94" s="7">
        <v>2.2564618800000003</v>
      </c>
      <c r="L94" s="7">
        <v>2.3747163778484062</v>
      </c>
      <c r="M94" s="7">
        <v>9.4348153091462925E-2</v>
      </c>
      <c r="N94" s="6">
        <v>1316.2845180710206</v>
      </c>
      <c r="O94" s="6">
        <v>110.78706148179522</v>
      </c>
      <c r="P94" s="67">
        <v>1.9448014000000065</v>
      </c>
      <c r="Q94" s="7">
        <v>0.35007513899823911</v>
      </c>
      <c r="R94" s="67">
        <v>2.5599119735428544</v>
      </c>
      <c r="S94" s="7">
        <v>0.5086823692227963</v>
      </c>
      <c r="T94" s="171">
        <f t="shared" si="2"/>
        <v>1.8100083659332382</v>
      </c>
      <c r="U94" s="171">
        <f t="shared" si="3"/>
        <v>0.42942876721816869</v>
      </c>
    </row>
    <row r="95" spans="1:21" s="42" customFormat="1">
      <c r="A95" s="5">
        <v>127</v>
      </c>
      <c r="B95" s="28">
        <v>110.253999999999</v>
      </c>
      <c r="C95" s="5" t="s">
        <v>128</v>
      </c>
      <c r="D95" s="5">
        <v>10</v>
      </c>
      <c r="E95" s="5">
        <v>1</v>
      </c>
      <c r="F95" s="24">
        <v>50.17</v>
      </c>
      <c r="G95" s="24">
        <v>-144.91800000000001</v>
      </c>
      <c r="H95" s="5">
        <v>7</v>
      </c>
      <c r="I95" s="25">
        <v>43327.655555555553</v>
      </c>
      <c r="J95" s="26">
        <v>43327.655555555553</v>
      </c>
      <c r="K95" s="7">
        <v>2.2814802600000004</v>
      </c>
      <c r="L95" s="7">
        <v>2.3285423834919907</v>
      </c>
      <c r="M95" s="7">
        <v>9.2195364168295296E-2</v>
      </c>
      <c r="N95" s="6">
        <v>1296.1423085371641</v>
      </c>
      <c r="O95" s="6">
        <v>117.60431808399895</v>
      </c>
      <c r="P95" s="67">
        <v>1.5129346000000103</v>
      </c>
      <c r="Q95" s="7">
        <v>0.27556263707939377</v>
      </c>
      <c r="R95" s="67">
        <v>1.9609785451097643</v>
      </c>
      <c r="S95" s="7">
        <v>0.39903321467940678</v>
      </c>
      <c r="T95" s="171">
        <f t="shared" si="2"/>
        <v>1.3865271965394963</v>
      </c>
      <c r="U95" s="171">
        <f t="shared" si="3"/>
        <v>0.33452261176146147</v>
      </c>
    </row>
    <row r="96" spans="1:21" s="42" customFormat="1">
      <c r="A96" s="5">
        <v>126</v>
      </c>
      <c r="B96" s="28">
        <v>125.34099999999999</v>
      </c>
      <c r="C96" s="5" t="s">
        <v>128</v>
      </c>
      <c r="D96" s="5">
        <v>10</v>
      </c>
      <c r="E96" s="5">
        <v>1</v>
      </c>
      <c r="F96" s="24">
        <v>50.17</v>
      </c>
      <c r="G96" s="24">
        <v>-144.91800000000001</v>
      </c>
      <c r="H96" s="5">
        <v>6</v>
      </c>
      <c r="I96" s="25">
        <v>43327.655555555553</v>
      </c>
      <c r="J96" s="26">
        <v>43327.655555555553</v>
      </c>
      <c r="K96" s="7">
        <v>2.3037947999999999</v>
      </c>
      <c r="L96" s="7">
        <v>2.3515212639919745</v>
      </c>
      <c r="M96" s="7">
        <v>9.4835719729134391E-2</v>
      </c>
      <c r="N96" s="6">
        <v>1268.9199591439692</v>
      </c>
      <c r="O96" s="6">
        <v>129.44802368248858</v>
      </c>
      <c r="P96" s="67">
        <v>1.3605559000000003</v>
      </c>
      <c r="Q96" s="7">
        <v>0.28674787302382432</v>
      </c>
      <c r="R96" s="67">
        <v>1.7264365370410868</v>
      </c>
      <c r="S96" s="7">
        <v>0.40424358307576358</v>
      </c>
      <c r="T96" s="171">
        <f t="shared" si="2"/>
        <v>1.2206921986354247</v>
      </c>
      <c r="U96" s="171">
        <f t="shared" si="3"/>
        <v>0.32669991950079308</v>
      </c>
    </row>
    <row r="97" spans="1:21" s="42" customFormat="1">
      <c r="A97" s="5">
        <v>125</v>
      </c>
      <c r="B97" s="28">
        <v>149.91899999999899</v>
      </c>
      <c r="C97" s="5" t="s">
        <v>128</v>
      </c>
      <c r="D97" s="5">
        <v>10</v>
      </c>
      <c r="E97" s="5">
        <v>1</v>
      </c>
      <c r="F97" s="24">
        <v>50.17</v>
      </c>
      <c r="G97" s="24">
        <v>-144.91800000000001</v>
      </c>
      <c r="H97" s="5">
        <v>5</v>
      </c>
      <c r="I97" s="25">
        <v>43327.655555555553</v>
      </c>
      <c r="J97" s="26">
        <v>43327.655555555553</v>
      </c>
      <c r="K97" s="7">
        <v>2.3272176</v>
      </c>
      <c r="L97" s="7">
        <v>2.353725337966825</v>
      </c>
      <c r="M97" s="7">
        <v>9.7028383338249008E-2</v>
      </c>
      <c r="N97" s="6">
        <v>1241.8008175501654</v>
      </c>
      <c r="O97" s="6">
        <v>163.12755626875443</v>
      </c>
      <c r="P97" s="67">
        <v>1.1169601976727355</v>
      </c>
      <c r="Q97" s="7">
        <v>0.28766856890476489</v>
      </c>
      <c r="R97" s="67">
        <v>1.3870420866409972</v>
      </c>
      <c r="S97" s="7">
        <v>0.40101192199443636</v>
      </c>
      <c r="T97" s="171">
        <f t="shared" si="2"/>
        <v>0.98072035549220493</v>
      </c>
      <c r="U97" s="171">
        <f t="shared" si="3"/>
        <v>0.31073363646808078</v>
      </c>
    </row>
    <row r="98" spans="1:21" s="42" customFormat="1">
      <c r="A98" s="5">
        <v>124</v>
      </c>
      <c r="B98" s="28">
        <v>196.48599999999999</v>
      </c>
      <c r="C98" s="5" t="s">
        <v>128</v>
      </c>
      <c r="D98" s="5">
        <v>10</v>
      </c>
      <c r="E98" s="5">
        <v>1</v>
      </c>
      <c r="F98" s="24">
        <v>50.17</v>
      </c>
      <c r="G98" s="24">
        <v>-144.91800000000001</v>
      </c>
      <c r="H98" s="5">
        <v>3</v>
      </c>
      <c r="I98" s="25">
        <v>43327.655555555553</v>
      </c>
      <c r="J98" s="26">
        <v>43327.655555555553</v>
      </c>
      <c r="K98" s="7">
        <v>2.3386539000000002</v>
      </c>
      <c r="L98" s="7">
        <v>2.7161234376442689</v>
      </c>
      <c r="M98" s="7">
        <v>0.10736120419201964</v>
      </c>
      <c r="N98" s="6">
        <v>255.63417822155873</v>
      </c>
      <c r="O98" s="6">
        <v>324.47597157240563</v>
      </c>
      <c r="P98" s="67">
        <v>1.0330252</v>
      </c>
      <c r="Q98" s="7">
        <v>7.4907496005249638E-2</v>
      </c>
      <c r="R98" s="67">
        <v>0.26407654808416137</v>
      </c>
      <c r="S98" s="7">
        <v>0.33573838168551218</v>
      </c>
      <c r="T98" s="171">
        <f t="shared" si="2"/>
        <v>0.18671765522374179</v>
      </c>
      <c r="U98" s="171">
        <f t="shared" si="3"/>
        <v>0.23861744794713002</v>
      </c>
    </row>
    <row r="99" spans="1:21" s="42" customFormat="1">
      <c r="A99" s="5">
        <v>123</v>
      </c>
      <c r="B99" s="28">
        <v>331.6</v>
      </c>
      <c r="C99" s="5" t="s">
        <v>128</v>
      </c>
      <c r="D99" s="5">
        <v>10</v>
      </c>
      <c r="E99" s="5">
        <v>1</v>
      </c>
      <c r="F99" s="24">
        <v>50.17</v>
      </c>
      <c r="G99" s="24">
        <v>-144.91800000000001</v>
      </c>
      <c r="H99" s="5">
        <v>2</v>
      </c>
      <c r="I99" s="25">
        <v>43327.655555555553</v>
      </c>
      <c r="J99" s="26">
        <v>43327.655555555553</v>
      </c>
      <c r="K99" s="7">
        <v>2.3518822800000003</v>
      </c>
      <c r="L99" s="7">
        <v>2.290736419342418</v>
      </c>
      <c r="M99" s="7">
        <v>9.3897662036614468E-2</v>
      </c>
      <c r="N99" s="6">
        <v>374.43687514841605</v>
      </c>
      <c r="O99" s="6">
        <v>372.24734089448287</v>
      </c>
      <c r="P99" s="67">
        <v>0.92936000000000007</v>
      </c>
      <c r="Q99" s="7">
        <v>0.14897975369600003</v>
      </c>
      <c r="R99" s="67">
        <v>0.34798665428793196</v>
      </c>
      <c r="S99" s="7">
        <v>0.35042037683205612</v>
      </c>
      <c r="T99" s="171">
        <f t="shared" si="2"/>
        <v>0.2460470367746925</v>
      </c>
      <c r="U99" s="171">
        <f t="shared" si="3"/>
        <v>0.24981215499073112</v>
      </c>
    </row>
    <row r="100" spans="1:21" s="42" customFormat="1">
      <c r="A100" s="5">
        <v>134</v>
      </c>
      <c r="B100" s="28">
        <v>4.665</v>
      </c>
      <c r="C100" s="5" t="s">
        <v>129</v>
      </c>
      <c r="D100" s="5">
        <v>11</v>
      </c>
      <c r="E100" s="5">
        <v>1</v>
      </c>
      <c r="F100" s="24">
        <v>50.109000000000002</v>
      </c>
      <c r="G100" s="24">
        <v>-144.97399999999999</v>
      </c>
      <c r="H100" s="5">
        <v>13</v>
      </c>
      <c r="I100" s="25">
        <v>43327.727777777778</v>
      </c>
      <c r="J100" s="26">
        <v>43327.727777777778</v>
      </c>
      <c r="K100" s="7">
        <v>2.2244166600000006</v>
      </c>
      <c r="L100" s="7">
        <v>1.3990687927049295</v>
      </c>
      <c r="M100" s="7">
        <v>7.4014734496715542E-2</v>
      </c>
      <c r="N100" s="6">
        <v>297.06861336252916</v>
      </c>
      <c r="O100" s="6">
        <v>26.640227008031118</v>
      </c>
      <c r="P100" s="7">
        <v>5.3045246601367619</v>
      </c>
      <c r="Q100" s="7">
        <v>1.8998610814664527</v>
      </c>
      <c r="R100" s="67">
        <v>1.5758077853341692</v>
      </c>
      <c r="S100" s="7">
        <v>0.58181150409738369</v>
      </c>
      <c r="T100" s="171">
        <f t="shared" si="2"/>
        <v>1.1141888096293271</v>
      </c>
      <c r="U100" s="171">
        <f t="shared" si="3"/>
        <v>0.43599136950713235</v>
      </c>
    </row>
    <row r="101" spans="1:21" s="42" customFormat="1">
      <c r="A101" s="5">
        <v>135</v>
      </c>
      <c r="B101" s="28">
        <v>20.364999999999998</v>
      </c>
      <c r="C101" s="5" t="s">
        <v>129</v>
      </c>
      <c r="D101" s="5">
        <v>11</v>
      </c>
      <c r="E101" s="5">
        <v>1</v>
      </c>
      <c r="F101" s="24">
        <v>50.109000000000002</v>
      </c>
      <c r="G101" s="24">
        <v>-144.97399999999999</v>
      </c>
      <c r="H101" s="5">
        <v>12</v>
      </c>
      <c r="I101" s="25">
        <v>43327.727777777778</v>
      </c>
      <c r="J101" s="26">
        <v>43327.727777777778</v>
      </c>
      <c r="K101" s="7">
        <v>2.2243773600000001</v>
      </c>
      <c r="L101" s="7">
        <v>1.4003731748512471</v>
      </c>
      <c r="M101" s="7">
        <v>7.4238412880234098E-2</v>
      </c>
      <c r="N101" s="6">
        <v>658.90702859367093</v>
      </c>
      <c r="O101" s="6">
        <v>42.100400850296175</v>
      </c>
      <c r="P101" s="7">
        <v>5.3045246601367619</v>
      </c>
      <c r="Q101" s="7">
        <v>1.8998610814664527</v>
      </c>
      <c r="R101" s="67">
        <v>3.4951885819125659</v>
      </c>
      <c r="S101" s="7">
        <v>1.2715958066702227</v>
      </c>
      <c r="T101" s="171">
        <f t="shared" si="2"/>
        <v>2.471303950745074</v>
      </c>
      <c r="U101" s="171">
        <f t="shared" si="3"/>
        <v>0.95445690019258189</v>
      </c>
    </row>
    <row r="102" spans="1:21" s="42" customFormat="1">
      <c r="A102" s="5">
        <v>136</v>
      </c>
      <c r="B102" s="28">
        <v>35.201999999999998</v>
      </c>
      <c r="C102" s="5" t="s">
        <v>129</v>
      </c>
      <c r="D102" s="5">
        <v>11</v>
      </c>
      <c r="E102" s="5">
        <v>1</v>
      </c>
      <c r="F102" s="24">
        <v>50.109000000000002</v>
      </c>
      <c r="G102" s="24">
        <v>-144.97399999999999</v>
      </c>
      <c r="H102" s="5">
        <v>11</v>
      </c>
      <c r="I102" s="25">
        <v>43327.727777777778</v>
      </c>
      <c r="J102" s="26">
        <v>43327.727777777778</v>
      </c>
      <c r="K102" s="7">
        <v>2.2326460799999999</v>
      </c>
      <c r="L102" s="7">
        <v>1.4425578303400628</v>
      </c>
      <c r="M102" s="7">
        <v>7.6741680227103357E-2</v>
      </c>
      <c r="N102" s="6">
        <v>997.38791393870497</v>
      </c>
      <c r="O102" s="6">
        <v>53.416563625901695</v>
      </c>
      <c r="P102" s="7">
        <v>5.3045246601367619</v>
      </c>
      <c r="Q102" s="7">
        <v>1.8998610814664527</v>
      </c>
      <c r="R102" s="67">
        <v>5.2906687852102232</v>
      </c>
      <c r="S102" s="7">
        <v>1.9159663827584013</v>
      </c>
      <c r="T102" s="171">
        <f t="shared" si="2"/>
        <v>3.7408140832902101</v>
      </c>
      <c r="U102" s="171">
        <f t="shared" si="3"/>
        <v>1.4388697018463206</v>
      </c>
    </row>
    <row r="103" spans="1:21" s="42" customFormat="1">
      <c r="A103" s="5">
        <v>137</v>
      </c>
      <c r="B103" s="28">
        <v>50.156999999999996</v>
      </c>
      <c r="C103" s="5" t="s">
        <v>129</v>
      </c>
      <c r="D103" s="5">
        <v>11</v>
      </c>
      <c r="E103" s="5">
        <v>1</v>
      </c>
      <c r="F103" s="24">
        <v>50.109000000000002</v>
      </c>
      <c r="G103" s="24">
        <v>-144.97399999999999</v>
      </c>
      <c r="H103" s="5">
        <v>10</v>
      </c>
      <c r="I103" s="25">
        <v>43327.727777777778</v>
      </c>
      <c r="J103" s="26">
        <v>43327.727777777778</v>
      </c>
      <c r="K103" s="7">
        <v>2.2352005800000003</v>
      </c>
      <c r="L103" s="7">
        <v>1.5975160447854773</v>
      </c>
      <c r="M103" s="7">
        <v>7.5638778866941245E-2</v>
      </c>
      <c r="N103" s="6">
        <v>1275.2268236115492</v>
      </c>
      <c r="O103" s="6">
        <v>62.764744723481527</v>
      </c>
      <c r="P103" s="7">
        <v>5.3045246601367619</v>
      </c>
      <c r="Q103" s="7">
        <v>1.8998610814664527</v>
      </c>
      <c r="R103" s="67">
        <v>6.7644721331153361</v>
      </c>
      <c r="S103" s="7">
        <v>2.4455230874554492</v>
      </c>
      <c r="T103" s="171">
        <f t="shared" si="2"/>
        <v>4.7828797546956148</v>
      </c>
      <c r="U103" s="171">
        <f t="shared" si="3"/>
        <v>1.8369166804328136</v>
      </c>
    </row>
    <row r="104" spans="1:21" s="42" customFormat="1">
      <c r="A104" s="5">
        <v>138</v>
      </c>
      <c r="B104" s="28">
        <v>65.501000000000005</v>
      </c>
      <c r="C104" s="5" t="s">
        <v>129</v>
      </c>
      <c r="D104" s="5">
        <v>11</v>
      </c>
      <c r="E104" s="5">
        <v>1</v>
      </c>
      <c r="F104" s="24">
        <v>50.109000000000002</v>
      </c>
      <c r="G104" s="24">
        <v>-144.97399999999999</v>
      </c>
      <c r="H104" s="5">
        <v>9</v>
      </c>
      <c r="I104" s="25">
        <v>43327.727777777778</v>
      </c>
      <c r="J104" s="26">
        <v>43327.727777777778</v>
      </c>
      <c r="K104" s="7">
        <v>2.2394214000000003</v>
      </c>
      <c r="L104" s="7">
        <v>1.858569758477719</v>
      </c>
      <c r="M104" s="7">
        <v>9.3866257894746952E-2</v>
      </c>
      <c r="N104" s="6">
        <v>1437.5655822796384</v>
      </c>
      <c r="O104" s="6">
        <v>74.432972576873041</v>
      </c>
      <c r="P104" s="67">
        <v>4.1614762999999986</v>
      </c>
      <c r="Q104" s="7">
        <v>1.2383579308812929</v>
      </c>
      <c r="R104" s="67">
        <v>5.9823951003524138</v>
      </c>
      <c r="S104" s="7">
        <v>1.8069675140521595</v>
      </c>
      <c r="T104" s="171">
        <f t="shared" si="2"/>
        <v>4.2299052826296775</v>
      </c>
      <c r="U104" s="171">
        <f t="shared" si="3"/>
        <v>1.3903163019635274</v>
      </c>
    </row>
    <row r="105" spans="1:21" s="42" customFormat="1">
      <c r="A105" s="5">
        <v>139</v>
      </c>
      <c r="B105" s="28">
        <v>79.798999999999893</v>
      </c>
      <c r="C105" s="5" t="s">
        <v>129</v>
      </c>
      <c r="D105" s="5">
        <v>11</v>
      </c>
      <c r="E105" s="5">
        <v>1</v>
      </c>
      <c r="F105" s="24">
        <v>50.109000000000002</v>
      </c>
      <c r="G105" s="24">
        <v>-144.97399999999999</v>
      </c>
      <c r="H105" s="5">
        <v>8</v>
      </c>
      <c r="I105" s="25">
        <v>43327.727777777778</v>
      </c>
      <c r="J105" s="26">
        <v>43327.727777777778</v>
      </c>
      <c r="K105" s="7">
        <v>2.2429191000000004</v>
      </c>
      <c r="L105" s="7">
        <v>2.2658567455893297</v>
      </c>
      <c r="M105" s="7">
        <v>9.7285897662109377E-2</v>
      </c>
      <c r="N105" s="6">
        <v>1427.7111825470051</v>
      </c>
      <c r="O105" s="6">
        <v>85.364775644977215</v>
      </c>
      <c r="P105" s="67">
        <v>3.1077137000000068</v>
      </c>
      <c r="Q105" s="7">
        <v>0.7510899889535162</v>
      </c>
      <c r="R105" s="67">
        <v>4.436917601644538</v>
      </c>
      <c r="S105" s="7">
        <v>1.1046676289779045</v>
      </c>
      <c r="T105" s="171">
        <f t="shared" si="2"/>
        <v>3.1371617699879519</v>
      </c>
      <c r="U105" s="171">
        <f t="shared" si="3"/>
        <v>0.88058547887900906</v>
      </c>
    </row>
    <row r="106" spans="1:21" s="42" customFormat="1">
      <c r="A106" s="5">
        <v>140</v>
      </c>
      <c r="B106" s="28">
        <v>95.376999999999995</v>
      </c>
      <c r="C106" s="5" t="s">
        <v>129</v>
      </c>
      <c r="D106" s="5">
        <v>11</v>
      </c>
      <c r="E106" s="5">
        <v>1</v>
      </c>
      <c r="F106" s="24">
        <v>50.109000000000002</v>
      </c>
      <c r="G106" s="24">
        <v>-144.97399999999999</v>
      </c>
      <c r="H106" s="5">
        <v>7</v>
      </c>
      <c r="I106" s="25">
        <v>43327.727777777778</v>
      </c>
      <c r="J106" s="26">
        <v>43327.727777777778</v>
      </c>
      <c r="K106" s="7">
        <v>2.2481381400000005</v>
      </c>
      <c r="L106" s="7">
        <v>2.2448897556734666</v>
      </c>
      <c r="M106" s="7">
        <v>9.356340358022025E-2</v>
      </c>
      <c r="N106" s="6">
        <v>1429.1662073653131</v>
      </c>
      <c r="O106" s="6">
        <v>95.09743961238496</v>
      </c>
      <c r="P106" s="67">
        <v>1.9596150999999997</v>
      </c>
      <c r="Q106" s="7">
        <v>0.35428137514593566</v>
      </c>
      <c r="R106" s="67">
        <v>2.8006156803627982</v>
      </c>
      <c r="S106" s="7">
        <v>0.53953216237235824</v>
      </c>
      <c r="T106" s="171">
        <f t="shared" si="2"/>
        <v>1.9802000473496406</v>
      </c>
      <c r="U106" s="171">
        <f t="shared" si="3"/>
        <v>0.4597980394008252</v>
      </c>
    </row>
    <row r="107" spans="1:21" s="42" customFormat="1">
      <c r="A107" s="5">
        <v>141</v>
      </c>
      <c r="B107" s="28">
        <v>110.94799999999999</v>
      </c>
      <c r="C107" s="5" t="s">
        <v>129</v>
      </c>
      <c r="D107" s="5">
        <v>11</v>
      </c>
      <c r="E107" s="5">
        <v>1</v>
      </c>
      <c r="F107" s="24">
        <v>50.109000000000002</v>
      </c>
      <c r="G107" s="24">
        <v>-144.97399999999999</v>
      </c>
      <c r="H107" s="5">
        <v>6</v>
      </c>
      <c r="I107" s="25">
        <v>43327.727777777778</v>
      </c>
      <c r="J107" s="26">
        <v>43327.727777777778</v>
      </c>
      <c r="K107" s="7">
        <v>2.2753573200000003</v>
      </c>
      <c r="L107" s="7">
        <v>2.3647092672856314</v>
      </c>
      <c r="M107" s="7">
        <v>9.590689368212349E-2</v>
      </c>
      <c r="N107" s="6">
        <v>1390.2304583626958</v>
      </c>
      <c r="O107" s="6">
        <v>103.87542437030721</v>
      </c>
      <c r="P107" s="67">
        <v>1.5059252000000001</v>
      </c>
      <c r="Q107" s="7">
        <v>0.27626853775017118</v>
      </c>
      <c r="R107" s="67">
        <v>2.0935830810559346</v>
      </c>
      <c r="S107" s="7">
        <v>0.41471074928980423</v>
      </c>
      <c r="T107" s="171">
        <f t="shared" si="2"/>
        <v>1.4802864046309714</v>
      </c>
      <c r="U107" s="171">
        <f t="shared" si="3"/>
        <v>0.35042781689837776</v>
      </c>
    </row>
    <row r="108" spans="1:21" s="42" customFormat="1">
      <c r="A108" s="5">
        <v>142</v>
      </c>
      <c r="B108" s="28">
        <v>125.68</v>
      </c>
      <c r="C108" s="5" t="s">
        <v>129</v>
      </c>
      <c r="D108" s="5">
        <v>11</v>
      </c>
      <c r="E108" s="5">
        <v>1</v>
      </c>
      <c r="F108" s="24">
        <v>50.109000000000002</v>
      </c>
      <c r="G108" s="24">
        <v>-144.97399999999999</v>
      </c>
      <c r="H108" s="5">
        <v>5</v>
      </c>
      <c r="I108" s="25">
        <v>43327.727777777778</v>
      </c>
      <c r="J108" s="26">
        <v>43327.727777777778</v>
      </c>
      <c r="K108" s="7">
        <v>2.3030166600000004</v>
      </c>
      <c r="L108" s="7">
        <v>2.1461851962308844</v>
      </c>
      <c r="M108" s="7">
        <v>9.245428827075762E-2</v>
      </c>
      <c r="N108" s="6">
        <v>1467.9526721045786</v>
      </c>
      <c r="O108" s="6">
        <v>113.53158559474345</v>
      </c>
      <c r="P108" s="67">
        <v>1.357132</v>
      </c>
      <c r="Q108" s="7">
        <v>0.28689900764672005</v>
      </c>
      <c r="R108" s="67">
        <v>1.992205545798631</v>
      </c>
      <c r="S108" s="7">
        <v>0.44845363163159946</v>
      </c>
      <c r="T108" s="171">
        <f t="shared" si="2"/>
        <v>1.4086065231233817</v>
      </c>
      <c r="U108" s="171">
        <f t="shared" si="3"/>
        <v>0.36589764355907056</v>
      </c>
    </row>
    <row r="109" spans="1:21" s="42" customFormat="1">
      <c r="A109" s="5">
        <v>143</v>
      </c>
      <c r="B109" s="28">
        <v>145.411</v>
      </c>
      <c r="C109" s="5" t="s">
        <v>129</v>
      </c>
      <c r="D109" s="5">
        <v>11</v>
      </c>
      <c r="E109" s="5">
        <v>1</v>
      </c>
      <c r="F109" s="24">
        <v>50.109000000000002</v>
      </c>
      <c r="G109" s="24">
        <v>-144.97399999999999</v>
      </c>
      <c r="H109" s="5">
        <v>4</v>
      </c>
      <c r="I109" s="25">
        <v>43327.727777777778</v>
      </c>
      <c r="J109" s="26">
        <v>43327.727777777778</v>
      </c>
      <c r="K109" s="7">
        <v>2.3278621200000003</v>
      </c>
      <c r="L109" s="7">
        <v>2.3193683664884217</v>
      </c>
      <c r="M109" s="7">
        <v>9.6685325210406445E-2</v>
      </c>
      <c r="N109" s="6">
        <v>1476.4570482440488</v>
      </c>
      <c r="O109" s="6">
        <v>149.20076995704497</v>
      </c>
      <c r="P109" s="67">
        <v>1.1578489000000001</v>
      </c>
      <c r="Q109" s="7">
        <v>0.28810831407221632</v>
      </c>
      <c r="R109" s="67">
        <v>1.7095141692066189</v>
      </c>
      <c r="S109" s="7">
        <v>0.45911980757162729</v>
      </c>
      <c r="T109" s="171">
        <f t="shared" si="2"/>
        <v>1.2087270890268329</v>
      </c>
      <c r="U109" s="171">
        <f t="shared" si="3"/>
        <v>0.36045840506325399</v>
      </c>
    </row>
    <row r="110" spans="1:21" s="42" customFormat="1">
      <c r="A110" s="5">
        <v>144</v>
      </c>
      <c r="B110" s="28">
        <v>195.30799999999999</v>
      </c>
      <c r="C110" s="5" t="s">
        <v>129</v>
      </c>
      <c r="D110" s="5">
        <v>11</v>
      </c>
      <c r="E110" s="5">
        <v>1</v>
      </c>
      <c r="F110" s="24">
        <v>50.109000000000002</v>
      </c>
      <c r="G110" s="24">
        <v>-144.97399999999999</v>
      </c>
      <c r="H110" s="5">
        <v>3</v>
      </c>
      <c r="I110" s="25">
        <v>43327.727777777778</v>
      </c>
      <c r="J110" s="26">
        <v>43327.727777777778</v>
      </c>
      <c r="K110" s="7">
        <v>2.3372076600000002</v>
      </c>
      <c r="L110" s="7">
        <v>2.4693850001455102</v>
      </c>
      <c r="M110" s="7">
        <v>9.8020961553932348E-2</v>
      </c>
      <c r="N110" s="6">
        <v>1126.3158270135636</v>
      </c>
      <c r="O110" s="6">
        <v>299.47325213006081</v>
      </c>
      <c r="P110" s="67">
        <v>1.0351456000000001</v>
      </c>
      <c r="Q110" s="7">
        <v>7.9916908876006471E-2</v>
      </c>
      <c r="R110" s="67">
        <v>1.1659008725434516</v>
      </c>
      <c r="S110" s="7">
        <v>0.32280198629582479</v>
      </c>
      <c r="T110" s="171">
        <f t="shared" si="2"/>
        <v>0.82436050729975696</v>
      </c>
      <c r="U110" s="171">
        <f t="shared" si="3"/>
        <v>0.25201605083237888</v>
      </c>
    </row>
    <row r="111" spans="1:21" s="42" customFormat="1">
      <c r="A111" s="5">
        <v>145</v>
      </c>
      <c r="B111" s="28">
        <v>329.62699999999899</v>
      </c>
      <c r="C111" s="5" t="s">
        <v>129</v>
      </c>
      <c r="D111" s="5">
        <v>11</v>
      </c>
      <c r="E111" s="5">
        <v>1</v>
      </c>
      <c r="F111" s="24">
        <v>50.109000000000002</v>
      </c>
      <c r="G111" s="24">
        <v>-144.97399999999999</v>
      </c>
      <c r="H111" s="5">
        <v>2</v>
      </c>
      <c r="I111" s="25">
        <v>43327.727777777778</v>
      </c>
      <c r="J111" s="26">
        <v>43327.727777777778</v>
      </c>
      <c r="K111" s="7">
        <v>2.34983868</v>
      </c>
      <c r="L111" s="7">
        <v>2.2897293989842273</v>
      </c>
      <c r="M111" s="7">
        <v>9.4288905377406945E-2</v>
      </c>
      <c r="N111" s="6">
        <v>1391.0010626886851</v>
      </c>
      <c r="O111" s="6">
        <v>511.92623224536595</v>
      </c>
      <c r="P111" s="67">
        <v>0.93978100734870584</v>
      </c>
      <c r="Q111" s="7">
        <v>0.1503684181233878</v>
      </c>
      <c r="R111" s="67">
        <v>1.3072363799166928</v>
      </c>
      <c r="S111" s="7">
        <v>0.52459967648736905</v>
      </c>
      <c r="T111" s="171">
        <f t="shared" si="2"/>
        <v>0.92429302583668893</v>
      </c>
      <c r="U111" s="171">
        <f t="shared" si="3"/>
        <v>0.38979297742820651</v>
      </c>
    </row>
    <row r="112" spans="1:21" s="42" customFormat="1">
      <c r="A112" s="5">
        <v>146</v>
      </c>
      <c r="B112" s="28">
        <v>501.52499999999998</v>
      </c>
      <c r="C112" s="5" t="s">
        <v>129</v>
      </c>
      <c r="D112" s="5">
        <v>11</v>
      </c>
      <c r="E112" s="5">
        <v>1</v>
      </c>
      <c r="F112" s="24">
        <v>50.109000000000002</v>
      </c>
      <c r="G112" s="24">
        <v>-144.97399999999999</v>
      </c>
      <c r="H112" s="5">
        <v>1</v>
      </c>
      <c r="I112" s="25">
        <v>43327.727777777778</v>
      </c>
      <c r="J112" s="26">
        <v>43327.727777777778</v>
      </c>
      <c r="K112" s="7">
        <v>2.3645133</v>
      </c>
      <c r="L112" s="7">
        <v>2.4446179355109479</v>
      </c>
      <c r="M112" s="7">
        <v>9.8608524770154499E-2</v>
      </c>
      <c r="N112" s="6">
        <v>1192.9909556765078</v>
      </c>
      <c r="O112" s="6">
        <v>566.99418500681202</v>
      </c>
      <c r="P112" s="68">
        <v>0.87680272990205399</v>
      </c>
      <c r="Q112" s="7">
        <v>0.15828163628098546</v>
      </c>
      <c r="R112" s="67">
        <v>1.0460177266856223</v>
      </c>
      <c r="S112" s="7">
        <v>0.53179548927004128</v>
      </c>
      <c r="T112" s="171">
        <f t="shared" si="2"/>
        <v>0.73959607040517195</v>
      </c>
      <c r="U112" s="171">
        <f t="shared" si="3"/>
        <v>0.38804013188494013</v>
      </c>
    </row>
    <row r="113" spans="1:21" s="42" customFormat="1">
      <c r="A113" s="5">
        <v>147</v>
      </c>
      <c r="B113" s="28">
        <v>5.2439999999999998</v>
      </c>
      <c r="C113" s="5" t="s">
        <v>130</v>
      </c>
      <c r="D113" s="5">
        <v>12</v>
      </c>
      <c r="E113" s="5">
        <v>1</v>
      </c>
      <c r="F113" s="24">
        <v>50.134999999999998</v>
      </c>
      <c r="G113" s="24">
        <v>-144.82</v>
      </c>
      <c r="H113" s="5">
        <v>13</v>
      </c>
      <c r="I113" s="25">
        <v>43327.79791666667</v>
      </c>
      <c r="J113" s="26">
        <v>43327.79791666667</v>
      </c>
      <c r="K113" s="7">
        <v>2.2237485600000002</v>
      </c>
      <c r="L113" s="7">
        <v>1.3649293402651703</v>
      </c>
      <c r="M113" s="7">
        <v>7.5051299120394183E-2</v>
      </c>
      <c r="N113" s="6">
        <v>319.03290987103367</v>
      </c>
      <c r="O113" s="6">
        <v>27.879947022347316</v>
      </c>
      <c r="P113" s="7">
        <v>5.3045246601367619</v>
      </c>
      <c r="Q113" s="7">
        <v>1.8998610814664527</v>
      </c>
      <c r="R113" s="67">
        <v>1.6923179378060871</v>
      </c>
      <c r="S113" s="7">
        <v>0.62389958815742408</v>
      </c>
      <c r="T113" s="171">
        <f t="shared" si="2"/>
        <v>1.1965683417655317</v>
      </c>
      <c r="U113" s="171">
        <f t="shared" si="3"/>
        <v>0.46760732362372709</v>
      </c>
    </row>
    <row r="114" spans="1:21" s="42" customFormat="1">
      <c r="A114" s="5">
        <v>148</v>
      </c>
      <c r="B114" s="28">
        <v>20.588999999999999</v>
      </c>
      <c r="C114" s="5" t="s">
        <v>130</v>
      </c>
      <c r="D114" s="5">
        <v>12</v>
      </c>
      <c r="E114" s="5">
        <v>1</v>
      </c>
      <c r="F114" s="24">
        <v>50.134999999999998</v>
      </c>
      <c r="G114" s="24">
        <v>-144.82</v>
      </c>
      <c r="H114" s="5">
        <v>12</v>
      </c>
      <c r="I114" s="25">
        <v>43327.79791666667</v>
      </c>
      <c r="J114" s="26">
        <v>43327.79791666667</v>
      </c>
      <c r="K114" s="7">
        <v>2.2244009399999998</v>
      </c>
      <c r="L114" s="7">
        <v>1.3734155716137173</v>
      </c>
      <c r="M114" s="7">
        <v>6.2143549522569876E-2</v>
      </c>
      <c r="N114" s="6">
        <v>689.58664244974375</v>
      </c>
      <c r="O114" s="6">
        <v>38.85262092555859</v>
      </c>
      <c r="P114" s="7">
        <v>5.3045246601367619</v>
      </c>
      <c r="Q114" s="7">
        <v>1.8998610814664527</v>
      </c>
      <c r="R114" s="67">
        <v>3.6579293501755776</v>
      </c>
      <c r="S114" s="7">
        <v>1.3262301283249343</v>
      </c>
      <c r="T114" s="171">
        <f t="shared" si="2"/>
        <v>2.5863712480110759</v>
      </c>
      <c r="U114" s="171">
        <f t="shared" si="3"/>
        <v>0.99585253897966175</v>
      </c>
    </row>
    <row r="115" spans="1:21" s="42" customFormat="1">
      <c r="A115" s="5">
        <v>149</v>
      </c>
      <c r="B115" s="28">
        <v>35.524999999999999</v>
      </c>
      <c r="C115" s="5" t="s">
        <v>130</v>
      </c>
      <c r="D115" s="5">
        <v>12</v>
      </c>
      <c r="E115" s="5">
        <v>1</v>
      </c>
      <c r="F115" s="24">
        <v>50.134999999999998</v>
      </c>
      <c r="G115" s="24">
        <v>-144.82</v>
      </c>
      <c r="H115" s="5">
        <v>11</v>
      </c>
      <c r="I115" s="25">
        <v>43327.79791666667</v>
      </c>
      <c r="J115" s="26">
        <v>43327.79791666667</v>
      </c>
      <c r="K115" s="7">
        <v>2.2345246200000002</v>
      </c>
      <c r="L115" s="7">
        <v>1.4152928525869448</v>
      </c>
      <c r="M115" s="7">
        <v>7.6167546594354388E-2</v>
      </c>
      <c r="N115" s="6">
        <v>1037.1600727152977</v>
      </c>
      <c r="O115" s="6">
        <v>50.535257695757643</v>
      </c>
      <c r="P115" s="7">
        <v>5.3045246601367619</v>
      </c>
      <c r="Q115" s="7">
        <v>1.8998610814664527</v>
      </c>
      <c r="R115" s="67">
        <v>5.5016411822275337</v>
      </c>
      <c r="S115" s="7">
        <v>1.9886105604624376</v>
      </c>
      <c r="T115" s="171">
        <f t="shared" si="2"/>
        <v>3.8899839795713835</v>
      </c>
      <c r="U115" s="171">
        <f t="shared" si="3"/>
        <v>1.4937454296976718</v>
      </c>
    </row>
    <row r="116" spans="1:21" s="42" customFormat="1">
      <c r="A116" s="5">
        <v>150</v>
      </c>
      <c r="B116" s="28">
        <v>50.093000000000004</v>
      </c>
      <c r="C116" s="5" t="s">
        <v>130</v>
      </c>
      <c r="D116" s="5">
        <v>12</v>
      </c>
      <c r="E116" s="5">
        <v>1</v>
      </c>
      <c r="F116" s="24">
        <v>50.134999999999998</v>
      </c>
      <c r="G116" s="24">
        <v>-144.82</v>
      </c>
      <c r="H116" s="5">
        <v>10</v>
      </c>
      <c r="I116" s="25">
        <v>43327.79791666667</v>
      </c>
      <c r="J116" s="26">
        <v>43327.79791666667</v>
      </c>
      <c r="K116" s="7">
        <v>2.2381323599999998</v>
      </c>
      <c r="L116" s="7">
        <v>1.4334290094485198</v>
      </c>
      <c r="M116" s="7">
        <v>6.3968528855169335E-2</v>
      </c>
      <c r="N116" s="6">
        <v>1385.1538274384141</v>
      </c>
      <c r="O116" s="6">
        <v>57.611313541367565</v>
      </c>
      <c r="P116" s="7">
        <v>5.3045246601367619</v>
      </c>
      <c r="Q116" s="7">
        <v>1.8998610814664527</v>
      </c>
      <c r="R116" s="67">
        <v>7.3475826357298883</v>
      </c>
      <c r="S116" s="7">
        <v>2.6492847167201448</v>
      </c>
      <c r="T116" s="171">
        <f t="shared" si="2"/>
        <v>5.195173184666638</v>
      </c>
      <c r="U116" s="171">
        <f t="shared" si="3"/>
        <v>1.9905727638392012</v>
      </c>
    </row>
    <row r="117" spans="1:21" s="42" customFormat="1">
      <c r="A117" s="5">
        <v>151</v>
      </c>
      <c r="B117" s="28">
        <v>65.597999999999999</v>
      </c>
      <c r="C117" s="5" t="s">
        <v>130</v>
      </c>
      <c r="D117" s="5">
        <v>12</v>
      </c>
      <c r="E117" s="5">
        <v>1</v>
      </c>
      <c r="F117" s="24">
        <v>50.134999999999998</v>
      </c>
      <c r="G117" s="24">
        <v>-144.82</v>
      </c>
      <c r="H117" s="5">
        <v>9</v>
      </c>
      <c r="I117" s="25">
        <v>43327.79791666667</v>
      </c>
      <c r="J117" s="26">
        <v>43327.79791666667</v>
      </c>
      <c r="K117" s="7">
        <v>2.2399323</v>
      </c>
      <c r="L117" s="7">
        <v>1.7699853482263102</v>
      </c>
      <c r="M117" s="7">
        <v>7.7138063712564681E-2</v>
      </c>
      <c r="N117" s="6">
        <v>1591.6530577353276</v>
      </c>
      <c r="O117" s="6">
        <v>66.842716376314883</v>
      </c>
      <c r="P117" s="67">
        <v>4.1543273999999988</v>
      </c>
      <c r="Q117" s="7">
        <v>1.2346553768066528</v>
      </c>
      <c r="R117" s="67">
        <v>6.6122479090436519</v>
      </c>
      <c r="S117" s="7">
        <v>1.9846654229188321</v>
      </c>
      <c r="T117" s="171">
        <f t="shared" si="2"/>
        <v>4.6752482728653542</v>
      </c>
      <c r="U117" s="171">
        <f t="shared" si="3"/>
        <v>1.5285461013157837</v>
      </c>
    </row>
    <row r="118" spans="1:21" s="42" customFormat="1">
      <c r="A118" s="5">
        <v>152</v>
      </c>
      <c r="B118" s="28">
        <v>80.650000000000006</v>
      </c>
      <c r="C118" s="5" t="s">
        <v>130</v>
      </c>
      <c r="D118" s="5">
        <v>12</v>
      </c>
      <c r="E118" s="5">
        <v>1</v>
      </c>
      <c r="F118" s="24">
        <v>50.134999999999998</v>
      </c>
      <c r="G118" s="24">
        <v>-144.82</v>
      </c>
      <c r="H118" s="5">
        <v>8</v>
      </c>
      <c r="I118" s="25">
        <v>43327.79791666667</v>
      </c>
      <c r="J118" s="26">
        <v>43327.79791666667</v>
      </c>
      <c r="K118" s="7">
        <v>2.2425889799999998</v>
      </c>
      <c r="L118" s="7">
        <v>2.1132163105633301</v>
      </c>
      <c r="M118" s="7">
        <v>8.2816663522610884E-2</v>
      </c>
      <c r="N118" s="6">
        <v>1647.6820916717274</v>
      </c>
      <c r="O118" s="6">
        <v>75.857435786623668</v>
      </c>
      <c r="P118" s="67">
        <v>3.0449949999999983</v>
      </c>
      <c r="Q118" s="7">
        <v>0.72580241995424954</v>
      </c>
      <c r="R118" s="67">
        <v>5.0171837307299496</v>
      </c>
      <c r="S118" s="7">
        <v>1.2179947226056416</v>
      </c>
      <c r="T118" s="171">
        <f t="shared" si="2"/>
        <v>3.5474440605382478</v>
      </c>
      <c r="U118" s="171">
        <f t="shared" si="3"/>
        <v>0.97627138275927272</v>
      </c>
    </row>
    <row r="119" spans="1:21" s="42" customFormat="1">
      <c r="A119" s="5">
        <v>153</v>
      </c>
      <c r="B119" s="28">
        <v>95.715000000000003</v>
      </c>
      <c r="C119" s="5" t="s">
        <v>130</v>
      </c>
      <c r="D119" s="5">
        <v>12</v>
      </c>
      <c r="E119" s="5">
        <v>1</v>
      </c>
      <c r="F119" s="24">
        <v>50.134999999999998</v>
      </c>
      <c r="G119" s="24">
        <v>-144.82</v>
      </c>
      <c r="H119" s="5">
        <v>7</v>
      </c>
      <c r="I119" s="25">
        <v>43327.79791666667</v>
      </c>
      <c r="J119" s="26">
        <v>43327.79791666667</v>
      </c>
      <c r="K119" s="7">
        <v>2.25790026</v>
      </c>
      <c r="L119" s="7">
        <v>2.2381029817444489</v>
      </c>
      <c r="M119" s="7">
        <v>8.5991625976085909E-2</v>
      </c>
      <c r="N119" s="6">
        <v>1656.0521112792446</v>
      </c>
      <c r="O119" s="6">
        <v>84.119651196696267</v>
      </c>
      <c r="P119" s="67">
        <v>1.9347044999999987</v>
      </c>
      <c r="Q119" s="7">
        <v>0.34722154237079228</v>
      </c>
      <c r="R119" s="67">
        <v>3.2039714719264536</v>
      </c>
      <c r="S119" s="7">
        <v>0.59760437725280036</v>
      </c>
      <c r="T119" s="171">
        <f t="shared" si="2"/>
        <v>2.2653963215666133</v>
      </c>
      <c r="U119" s="171">
        <f t="shared" si="3"/>
        <v>0.5145609057091568</v>
      </c>
    </row>
    <row r="120" spans="1:21" s="42" customFormat="1">
      <c r="A120" s="5">
        <v>154</v>
      </c>
      <c r="B120" s="28">
        <v>110.051</v>
      </c>
      <c r="C120" s="5" t="s">
        <v>130</v>
      </c>
      <c r="D120" s="5">
        <v>12</v>
      </c>
      <c r="E120" s="5">
        <v>1</v>
      </c>
      <c r="F120" s="24">
        <v>50.134999999999998</v>
      </c>
      <c r="G120" s="24">
        <v>-144.82</v>
      </c>
      <c r="H120" s="5">
        <v>6</v>
      </c>
      <c r="I120" s="25">
        <v>43327.79791666667</v>
      </c>
      <c r="J120" s="26">
        <v>43327.79791666667</v>
      </c>
      <c r="K120" s="7">
        <v>2.2906686000000005</v>
      </c>
      <c r="L120" s="7">
        <v>2.3553820175035858</v>
      </c>
      <c r="M120" s="7">
        <v>9.383328931994725E-2</v>
      </c>
      <c r="N120" s="6">
        <v>1628.4595150195498</v>
      </c>
      <c r="O120" s="6">
        <v>93.149434703251117</v>
      </c>
      <c r="P120" s="67">
        <v>1.5149849000000002</v>
      </c>
      <c r="Q120" s="7">
        <v>0.27535266723852037</v>
      </c>
      <c r="R120" s="67">
        <v>2.4670915755159415</v>
      </c>
      <c r="S120" s="7">
        <v>0.47008298463692821</v>
      </c>
      <c r="T120" s="171">
        <f t="shared" si="2"/>
        <v>1.7443788838673178</v>
      </c>
      <c r="U120" s="171">
        <f t="shared" si="3"/>
        <v>0.40199770569531401</v>
      </c>
    </row>
    <row r="121" spans="1:21" s="42" customFormat="1">
      <c r="A121" s="5">
        <v>155</v>
      </c>
      <c r="B121" s="28">
        <v>125.366</v>
      </c>
      <c r="C121" s="5" t="s">
        <v>130</v>
      </c>
      <c r="D121" s="5">
        <v>12</v>
      </c>
      <c r="E121" s="5">
        <v>1</v>
      </c>
      <c r="F121" s="24">
        <v>50.134999999999998</v>
      </c>
      <c r="G121" s="24">
        <v>-144.82</v>
      </c>
      <c r="H121" s="5">
        <v>5</v>
      </c>
      <c r="I121" s="25">
        <v>43327.79791666667</v>
      </c>
      <c r="J121" s="26">
        <v>43327.79791666667</v>
      </c>
      <c r="K121" s="7">
        <v>2.3157655800000003</v>
      </c>
      <c r="L121" s="7">
        <v>2.5050132455277718</v>
      </c>
      <c r="M121" s="7">
        <v>9.7530247925069188E-2</v>
      </c>
      <c r="N121" s="6">
        <v>1531.0449453409119</v>
      </c>
      <c r="O121" s="6">
        <v>105.81679317948897</v>
      </c>
      <c r="P121" s="67">
        <v>1.3603034000000001</v>
      </c>
      <c r="Q121" s="7">
        <v>0.28675916904862686</v>
      </c>
      <c r="R121" s="67">
        <v>2.082685644700057</v>
      </c>
      <c r="S121" s="7">
        <v>0.46203541583239416</v>
      </c>
      <c r="T121" s="171">
        <f t="shared" si="2"/>
        <v>1.4725812760268555</v>
      </c>
      <c r="U121" s="171">
        <f t="shared" si="3"/>
        <v>0.37836543593196409</v>
      </c>
    </row>
    <row r="122" spans="1:21" s="42" customFormat="1">
      <c r="A122" s="5">
        <v>156</v>
      </c>
      <c r="B122" s="28">
        <v>145.84700000000001</v>
      </c>
      <c r="C122" s="5" t="s">
        <v>130</v>
      </c>
      <c r="D122" s="5">
        <v>12</v>
      </c>
      <c r="E122" s="5">
        <v>1</v>
      </c>
      <c r="F122" s="24">
        <v>50.134999999999998</v>
      </c>
      <c r="G122" s="24">
        <v>-144.82</v>
      </c>
      <c r="H122" s="5">
        <v>4</v>
      </c>
      <c r="I122" s="25">
        <v>43327.79791666667</v>
      </c>
      <c r="J122" s="26">
        <v>43327.79791666667</v>
      </c>
      <c r="K122" s="7">
        <v>2.3307938999999998</v>
      </c>
      <c r="L122" s="7">
        <v>2.5151615280614168</v>
      </c>
      <c r="M122" s="7">
        <v>9.8225018185280399E-2</v>
      </c>
      <c r="N122" s="6">
        <v>1344.1375388950191</v>
      </c>
      <c r="O122" s="6">
        <v>145.3031225962973</v>
      </c>
      <c r="P122" s="67">
        <v>1.1534453</v>
      </c>
      <c r="Q122" s="7">
        <v>0.28796656872708276</v>
      </c>
      <c r="R122" s="67">
        <v>1.5503891267920271</v>
      </c>
      <c r="S122" s="7">
        <v>0.42179391176301667</v>
      </c>
      <c r="T122" s="171">
        <f t="shared" si="2"/>
        <v>1.0962163226502519</v>
      </c>
      <c r="U122" s="171">
        <f t="shared" si="3"/>
        <v>0.33035525153096196</v>
      </c>
    </row>
    <row r="123" spans="1:21" s="42" customFormat="1">
      <c r="A123" s="5">
        <v>157</v>
      </c>
      <c r="B123" s="28">
        <v>195.86500000000001</v>
      </c>
      <c r="C123" s="5" t="s">
        <v>130</v>
      </c>
      <c r="D123" s="5">
        <v>12</v>
      </c>
      <c r="E123" s="5">
        <v>1</v>
      </c>
      <c r="F123" s="24">
        <v>50.134999999999998</v>
      </c>
      <c r="G123" s="24">
        <v>-144.82</v>
      </c>
      <c r="H123" s="5">
        <v>3</v>
      </c>
      <c r="I123" s="25">
        <v>43327.79791666667</v>
      </c>
      <c r="J123" s="26">
        <v>43327.79791666667</v>
      </c>
      <c r="K123" s="7">
        <v>2.33761638</v>
      </c>
      <c r="L123" s="7">
        <v>2.389177350424962</v>
      </c>
      <c r="M123" s="7">
        <v>8.9642368690262014E-2</v>
      </c>
      <c r="N123" s="6">
        <v>1207.6490545008078</v>
      </c>
      <c r="O123" s="6">
        <v>278.24778094245141</v>
      </c>
      <c r="P123" s="67">
        <v>1.034143</v>
      </c>
      <c r="Q123" s="7">
        <v>7.7545802316510051E-2</v>
      </c>
      <c r="R123" s="67">
        <v>1.2488818161686288</v>
      </c>
      <c r="S123" s="7">
        <v>0.30260349964796845</v>
      </c>
      <c r="T123" s="171">
        <f t="shared" si="2"/>
        <v>0.88303291624463842</v>
      </c>
      <c r="U123" s="171">
        <f t="shared" si="3"/>
        <v>0.24265214493795317</v>
      </c>
    </row>
    <row r="124" spans="1:21" s="42" customFormat="1">
      <c r="A124" s="5">
        <v>158</v>
      </c>
      <c r="B124" s="28">
        <v>329.93099999999998</v>
      </c>
      <c r="C124" s="5" t="s">
        <v>130</v>
      </c>
      <c r="D124" s="5">
        <v>12</v>
      </c>
      <c r="E124" s="5">
        <v>1</v>
      </c>
      <c r="F124" s="24">
        <v>50.134999999999998</v>
      </c>
      <c r="G124" s="24">
        <v>-144.82</v>
      </c>
      <c r="H124" s="5">
        <v>2</v>
      </c>
      <c r="I124" s="25">
        <v>43327.79791666667</v>
      </c>
      <c r="J124" s="26">
        <v>43327.79791666667</v>
      </c>
      <c r="K124" s="7">
        <v>2.3505225000000003</v>
      </c>
      <c r="L124" s="7">
        <v>2.5679980239686842</v>
      </c>
      <c r="M124" s="7">
        <v>0.10006393244214053</v>
      </c>
      <c r="N124" s="6">
        <v>788.38471618478366</v>
      </c>
      <c r="O124" s="6">
        <v>338.5796183506078</v>
      </c>
      <c r="P124" s="67">
        <v>0.93978100734870584</v>
      </c>
      <c r="Q124" s="7">
        <v>0.1503684181233878</v>
      </c>
      <c r="R124" s="67">
        <v>0.74090898275445949</v>
      </c>
      <c r="S124" s="7">
        <v>0.33955704251967594</v>
      </c>
      <c r="T124" s="171">
        <f t="shared" si="2"/>
        <v>0.52386623877721672</v>
      </c>
      <c r="U124" s="171">
        <f t="shared" si="3"/>
        <v>0.24950536847800839</v>
      </c>
    </row>
    <row r="125" spans="1:21" s="42" customFormat="1">
      <c r="A125" s="5">
        <v>204</v>
      </c>
      <c r="B125" s="28">
        <v>4.7969999999999997</v>
      </c>
      <c r="C125" s="5" t="s">
        <v>131</v>
      </c>
      <c r="D125" s="5">
        <v>16</v>
      </c>
      <c r="E125" s="5">
        <v>1</v>
      </c>
      <c r="F125" s="24">
        <v>50.072000000000003</v>
      </c>
      <c r="G125" s="24">
        <v>-144.876</v>
      </c>
      <c r="H125" s="5">
        <v>23</v>
      </c>
      <c r="I125" s="25">
        <v>43328.645833333336</v>
      </c>
      <c r="J125" s="26">
        <v>43328.645833333336</v>
      </c>
      <c r="K125" s="7">
        <v>2.2245581400000001</v>
      </c>
      <c r="L125" s="7">
        <v>1.534017551835352</v>
      </c>
      <c r="M125" s="7">
        <v>7.1722399459854314E-2</v>
      </c>
      <c r="N125" s="6">
        <v>206.73212158189719</v>
      </c>
      <c r="O125" s="6">
        <v>21.472052562020682</v>
      </c>
      <c r="P125" s="7">
        <v>5.3045246601367619</v>
      </c>
      <c r="Q125" s="7">
        <v>1.8998610814664527</v>
      </c>
      <c r="R125" s="67">
        <v>1.0966156369735649</v>
      </c>
      <c r="S125" s="7">
        <v>0.40894403450294342</v>
      </c>
      <c r="T125" s="171">
        <f t="shared" si="2"/>
        <v>0.77537176967391186</v>
      </c>
      <c r="U125" s="171">
        <f t="shared" si="3"/>
        <v>0.30611772218396999</v>
      </c>
    </row>
    <row r="126" spans="1:21" s="42" customFormat="1">
      <c r="A126" s="5">
        <v>203</v>
      </c>
      <c r="B126" s="28">
        <v>16.021999999999998</v>
      </c>
      <c r="C126" s="5" t="s">
        <v>131</v>
      </c>
      <c r="D126" s="5">
        <v>16</v>
      </c>
      <c r="E126" s="5">
        <v>1</v>
      </c>
      <c r="F126" s="24">
        <v>50.072000000000003</v>
      </c>
      <c r="G126" s="24">
        <v>-144.876</v>
      </c>
      <c r="H126" s="5">
        <v>19</v>
      </c>
      <c r="I126" s="25">
        <v>43328.645833333336</v>
      </c>
      <c r="J126" s="26">
        <v>43328.645833333336</v>
      </c>
      <c r="K126" s="7">
        <v>2.2245817200000002</v>
      </c>
      <c r="L126" s="7">
        <v>1.4174250048675017</v>
      </c>
      <c r="M126" s="7">
        <v>7.0811655808186449E-2</v>
      </c>
      <c r="N126" s="6">
        <v>442.79352963850238</v>
      </c>
      <c r="O126" s="6">
        <v>29.831810292914927</v>
      </c>
      <c r="P126" s="7">
        <v>5.3045246601367619</v>
      </c>
      <c r="Q126" s="7">
        <v>1.8998610814664527</v>
      </c>
      <c r="R126" s="67">
        <v>2.348809197316434</v>
      </c>
      <c r="S126" s="7">
        <v>0.85600010956269268</v>
      </c>
      <c r="T126" s="171">
        <f t="shared" si="2"/>
        <v>1.6607462838809637</v>
      </c>
      <c r="U126" s="171">
        <f t="shared" si="3"/>
        <v>0.64238733249935998</v>
      </c>
    </row>
    <row r="127" spans="1:21" s="42" customFormat="1">
      <c r="A127" s="5">
        <v>202</v>
      </c>
      <c r="B127" s="28">
        <v>25.135000000000002</v>
      </c>
      <c r="C127" s="5" t="s">
        <v>131</v>
      </c>
      <c r="D127" s="5">
        <v>16</v>
      </c>
      <c r="E127" s="5">
        <v>1</v>
      </c>
      <c r="F127" s="24">
        <v>50.072000000000003</v>
      </c>
      <c r="G127" s="24">
        <v>-144.876</v>
      </c>
      <c r="H127" s="5">
        <v>16</v>
      </c>
      <c r="I127" s="25">
        <v>43328.645833333336</v>
      </c>
      <c r="J127" s="26">
        <v>43328.645833333336</v>
      </c>
      <c r="K127" s="7">
        <v>2.2249590000000001</v>
      </c>
      <c r="L127" s="7">
        <v>1.5782106368020874</v>
      </c>
      <c r="M127" s="7">
        <v>7.5056848104188487E-2</v>
      </c>
      <c r="N127" s="6">
        <v>756.43487272949699</v>
      </c>
      <c r="O127" s="6">
        <v>47.061842423853442</v>
      </c>
      <c r="P127" s="7">
        <v>5.3045246601367619</v>
      </c>
      <c r="Q127" s="7">
        <v>1.8998610814664527</v>
      </c>
      <c r="R127" s="67">
        <v>4.0125274361810295</v>
      </c>
      <c r="S127" s="7">
        <v>1.458642435147969</v>
      </c>
      <c r="T127" s="171">
        <f t="shared" si="2"/>
        <v>2.8370929559632097</v>
      </c>
      <c r="U127" s="171">
        <f t="shared" si="3"/>
        <v>1.0949524704599329</v>
      </c>
    </row>
    <row r="128" spans="1:21" s="42" customFormat="1">
      <c r="A128" s="5">
        <v>201</v>
      </c>
      <c r="B128" s="28">
        <v>49.552</v>
      </c>
      <c r="C128" s="5" t="s">
        <v>131</v>
      </c>
      <c r="D128" s="5">
        <v>16</v>
      </c>
      <c r="E128" s="5">
        <v>1</v>
      </c>
      <c r="F128" s="24">
        <v>50.072000000000003</v>
      </c>
      <c r="G128" s="24">
        <v>-144.876</v>
      </c>
      <c r="H128" s="5">
        <v>13</v>
      </c>
      <c r="I128" s="25">
        <v>43328.645833333336</v>
      </c>
      <c r="J128" s="26">
        <v>43328.645833333336</v>
      </c>
      <c r="K128" s="7">
        <v>2.2365132000000005</v>
      </c>
      <c r="L128" s="7">
        <v>1.6090568325117229</v>
      </c>
      <c r="M128" s="7">
        <v>7.2029863550841719E-2</v>
      </c>
      <c r="N128" s="6">
        <v>1434.3191208529265</v>
      </c>
      <c r="O128" s="6">
        <v>86.676731590067448</v>
      </c>
      <c r="P128" s="7">
        <v>5.3045246601367619</v>
      </c>
      <c r="Q128" s="7">
        <v>1.8998610814664527</v>
      </c>
      <c r="R128" s="67">
        <v>7.6083811470700295</v>
      </c>
      <c r="S128" s="7">
        <v>2.7635231435843992</v>
      </c>
      <c r="T128" s="171">
        <f t="shared" si="2"/>
        <v>5.3795730750641537</v>
      </c>
      <c r="U128" s="171">
        <f t="shared" si="3"/>
        <v>2.074675451726367</v>
      </c>
    </row>
    <row r="129" spans="1:21" s="42" customFormat="1">
      <c r="A129" s="5">
        <v>199</v>
      </c>
      <c r="B129" s="28">
        <v>94.302999999999997</v>
      </c>
      <c r="C129" s="5" t="s">
        <v>131</v>
      </c>
      <c r="D129" s="5">
        <v>16</v>
      </c>
      <c r="E129" s="5">
        <v>1</v>
      </c>
      <c r="F129" s="24">
        <v>50.072000000000003</v>
      </c>
      <c r="G129" s="24">
        <v>-144.876</v>
      </c>
      <c r="H129" s="5">
        <v>9</v>
      </c>
      <c r="I129" s="25">
        <v>43328.645833333336</v>
      </c>
      <c r="J129" s="26">
        <v>43328.645833333336</v>
      </c>
      <c r="K129" s="7">
        <v>2.2650528599999999</v>
      </c>
      <c r="L129" s="7">
        <v>2.0979638610166917</v>
      </c>
      <c r="M129" s="7">
        <v>8.9534337276507031E-2</v>
      </c>
      <c r="N129" s="6">
        <v>1578.1375146437499</v>
      </c>
      <c r="O129" s="6">
        <v>115.98208117219055</v>
      </c>
      <c r="P129" s="67">
        <v>2.0387688999999991</v>
      </c>
      <c r="Q129" s="7">
        <v>0.37715098825667959</v>
      </c>
      <c r="R129" s="67">
        <v>3.2174576847789704</v>
      </c>
      <c r="S129" s="7">
        <v>0.64044677287579344</v>
      </c>
      <c r="T129" s="171">
        <f t="shared" si="2"/>
        <v>2.2749318674526027</v>
      </c>
      <c r="U129" s="171">
        <f t="shared" si="3"/>
        <v>0.54038627930993999</v>
      </c>
    </row>
    <row r="130" spans="1:21" s="42" customFormat="1">
      <c r="A130" s="5">
        <v>198</v>
      </c>
      <c r="B130" s="28">
        <v>109.602</v>
      </c>
      <c r="C130" s="5" t="s">
        <v>131</v>
      </c>
      <c r="D130" s="5">
        <v>16</v>
      </c>
      <c r="E130" s="5">
        <v>1</v>
      </c>
      <c r="F130" s="24">
        <v>50.072000000000003</v>
      </c>
      <c r="G130" s="24">
        <v>-144.876</v>
      </c>
      <c r="H130" s="5">
        <v>7</v>
      </c>
      <c r="I130" s="25">
        <v>43328.645833333336</v>
      </c>
      <c r="J130" s="26">
        <v>43328.645833333336</v>
      </c>
      <c r="K130" s="7">
        <v>2.29628064</v>
      </c>
      <c r="L130" s="7">
        <v>2.2788866092836813</v>
      </c>
      <c r="M130" s="7">
        <v>9.7494214254865305E-2</v>
      </c>
      <c r="N130" s="6">
        <v>1585.9667136311423</v>
      </c>
      <c r="O130" s="6">
        <v>124.0062804072497</v>
      </c>
      <c r="P130" s="67">
        <v>1.5195198000000001</v>
      </c>
      <c r="Q130" s="7">
        <v>0.27488264222268127</v>
      </c>
      <c r="R130" s="67">
        <v>2.4099078235034508</v>
      </c>
      <c r="S130" s="7">
        <v>0.4749340826013676</v>
      </c>
      <c r="T130" s="171">
        <f t="shared" si="2"/>
        <v>1.7039466070516374</v>
      </c>
      <c r="U130" s="171">
        <f t="shared" si="3"/>
        <v>0.4019344972773683</v>
      </c>
    </row>
    <row r="131" spans="1:21" s="42" customFormat="1">
      <c r="A131" s="5">
        <v>197</v>
      </c>
      <c r="B131" s="28">
        <v>125.604</v>
      </c>
      <c r="C131" s="5" t="s">
        <v>131</v>
      </c>
      <c r="D131" s="5">
        <v>16</v>
      </c>
      <c r="E131" s="5">
        <v>1</v>
      </c>
      <c r="F131" s="24">
        <v>50.072000000000003</v>
      </c>
      <c r="G131" s="24">
        <v>-144.876</v>
      </c>
      <c r="H131" s="5">
        <v>6</v>
      </c>
      <c r="I131" s="25">
        <v>43328.645833333336</v>
      </c>
      <c r="J131" s="26">
        <v>43328.645833333336</v>
      </c>
      <c r="K131" s="7">
        <v>2.3168895600000003</v>
      </c>
      <c r="L131" s="7">
        <v>2.2846863995645479</v>
      </c>
      <c r="M131" s="7">
        <v>9.1462270291928785E-2</v>
      </c>
      <c r="N131" s="6">
        <v>1604.9558314493588</v>
      </c>
      <c r="O131" s="6">
        <v>135.22663042768698</v>
      </c>
      <c r="P131" s="67">
        <v>1.3578996000000001</v>
      </c>
      <c r="Q131" s="7">
        <v>0.28686550792248489</v>
      </c>
      <c r="R131" s="67">
        <v>2.1793688815427519</v>
      </c>
      <c r="S131" s="7">
        <v>0.49567323874023833</v>
      </c>
      <c r="T131" s="171">
        <f t="shared" si="2"/>
        <v>1.5409420123878759</v>
      </c>
      <c r="U131" s="171">
        <f t="shared" si="3"/>
        <v>0.4033947170717152</v>
      </c>
    </row>
    <row r="132" spans="1:21" s="42" customFormat="1">
      <c r="A132" s="5">
        <v>196</v>
      </c>
      <c r="B132" s="28">
        <v>150.608</v>
      </c>
      <c r="C132" s="5" t="s">
        <v>131</v>
      </c>
      <c r="D132" s="5">
        <v>16</v>
      </c>
      <c r="E132" s="5">
        <v>1</v>
      </c>
      <c r="F132" s="24">
        <v>50.072000000000003</v>
      </c>
      <c r="G132" s="24">
        <v>-144.876</v>
      </c>
      <c r="H132" s="5">
        <v>5</v>
      </c>
      <c r="I132" s="25">
        <v>43328.645833333336</v>
      </c>
      <c r="J132" s="26">
        <v>43328.645833333336</v>
      </c>
      <c r="K132" s="7">
        <v>2.3322086999999998</v>
      </c>
      <c r="L132" s="7">
        <v>2.4010125308646186</v>
      </c>
      <c r="M132" s="7">
        <v>0.11173777931593729</v>
      </c>
      <c r="N132" s="6">
        <v>1535.9472238711671</v>
      </c>
      <c r="O132" s="6">
        <v>175.63029973048214</v>
      </c>
      <c r="P132" s="67">
        <v>1.1156056000000001</v>
      </c>
      <c r="Q132" s="7">
        <v>0.28470137104048648</v>
      </c>
      <c r="R132" s="67">
        <v>1.7135113242551279</v>
      </c>
      <c r="S132" s="7">
        <v>0.47917583477344716</v>
      </c>
      <c r="T132" s="171">
        <f t="shared" si="2"/>
        <v>1.2115533128003484</v>
      </c>
      <c r="U132" s="171">
        <f t="shared" si="3"/>
        <v>0.37343428027826725</v>
      </c>
    </row>
    <row r="133" spans="1:21" s="42" customFormat="1">
      <c r="A133" s="5">
        <v>195</v>
      </c>
      <c r="B133" s="28">
        <v>195.352</v>
      </c>
      <c r="C133" s="5" t="s">
        <v>131</v>
      </c>
      <c r="D133" s="5">
        <v>16</v>
      </c>
      <c r="E133" s="5">
        <v>1</v>
      </c>
      <c r="F133" s="24">
        <v>50.072000000000003</v>
      </c>
      <c r="G133" s="24">
        <v>-144.876</v>
      </c>
      <c r="H133" s="5">
        <v>3</v>
      </c>
      <c r="I133" s="25">
        <v>43328.645833333336</v>
      </c>
      <c r="J133" s="26">
        <v>43328.645833333336</v>
      </c>
      <c r="K133" s="7">
        <v>2.3381823000000002</v>
      </c>
      <c r="L133" s="7">
        <v>2.4027809438732115</v>
      </c>
      <c r="M133" s="7">
        <v>9.9834238185390695E-2</v>
      </c>
      <c r="N133" s="6">
        <v>1369.3931308044703</v>
      </c>
      <c r="O133" s="6">
        <v>311.61135941619824</v>
      </c>
      <c r="P133" s="67">
        <v>1.0350664000000001</v>
      </c>
      <c r="Q133" s="7">
        <v>7.9729442441510465E-2</v>
      </c>
      <c r="R133" s="67">
        <v>1.4174128180865122</v>
      </c>
      <c r="S133" s="7">
        <v>0.34051656413441378</v>
      </c>
      <c r="T133" s="171">
        <f t="shared" si="2"/>
        <v>1.0021942493463811</v>
      </c>
      <c r="U133" s="171">
        <f t="shared" si="3"/>
        <v>0.27357703110580328</v>
      </c>
    </row>
    <row r="134" spans="1:21" s="42" customFormat="1">
      <c r="A134" s="5">
        <v>194</v>
      </c>
      <c r="B134" s="28">
        <v>329.90499999999997</v>
      </c>
      <c r="C134" s="5" t="s">
        <v>131</v>
      </c>
      <c r="D134" s="5">
        <v>16</v>
      </c>
      <c r="E134" s="5">
        <v>1</v>
      </c>
      <c r="F134" s="24">
        <v>50.072000000000003</v>
      </c>
      <c r="G134" s="24">
        <v>-144.876</v>
      </c>
      <c r="H134" s="5">
        <v>2</v>
      </c>
      <c r="I134" s="25">
        <v>43328.645833333336</v>
      </c>
      <c r="J134" s="26">
        <v>43328.645833333336</v>
      </c>
      <c r="K134" s="7">
        <v>2.3518351200000005</v>
      </c>
      <c r="L134" s="7">
        <v>2.4446880734178222</v>
      </c>
      <c r="M134" s="7">
        <v>9.4206376372535705E-2</v>
      </c>
      <c r="N134" s="6">
        <v>1189.7345381196096</v>
      </c>
      <c r="O134" s="6">
        <v>361.00782661896602</v>
      </c>
      <c r="P134" s="67">
        <v>0.93978100734870584</v>
      </c>
      <c r="Q134" s="7">
        <v>0.1503684181233878</v>
      </c>
      <c r="R134" s="67">
        <v>1.1180899227115939</v>
      </c>
      <c r="S134" s="7">
        <v>0.38354615387860069</v>
      </c>
      <c r="T134" s="171">
        <f t="shared" si="2"/>
        <v>0.79055535303145996</v>
      </c>
      <c r="U134" s="171">
        <f t="shared" si="3"/>
        <v>0.28990540844318047</v>
      </c>
    </row>
    <row r="135" spans="1:21" s="42" customFormat="1">
      <c r="A135" s="5">
        <v>205</v>
      </c>
      <c r="B135" s="28">
        <v>5.6050000000000004</v>
      </c>
      <c r="C135" s="5" t="s">
        <v>132</v>
      </c>
      <c r="D135" s="5">
        <v>17</v>
      </c>
      <c r="E135" s="5">
        <v>1</v>
      </c>
      <c r="F135" s="24">
        <v>50.01</v>
      </c>
      <c r="G135" s="24">
        <v>-144.93199999999999</v>
      </c>
      <c r="H135" s="5">
        <v>17</v>
      </c>
      <c r="I135" s="25">
        <v>43328.720138888886</v>
      </c>
      <c r="J135" s="26">
        <v>43328.720138888886</v>
      </c>
      <c r="K135" s="7">
        <v>2.2246210199999998</v>
      </c>
      <c r="L135" s="7">
        <v>1.3533795206982164</v>
      </c>
      <c r="M135" s="7">
        <v>7.9266456726592605E-2</v>
      </c>
      <c r="N135" s="6">
        <v>325.91517009759019</v>
      </c>
      <c r="O135" s="6">
        <v>29.652100764006647</v>
      </c>
      <c r="P135" s="7">
        <v>5.3045246601367619</v>
      </c>
      <c r="Q135" s="7">
        <v>1.8998610814664527</v>
      </c>
      <c r="R135" s="67">
        <v>1.7288250568953345</v>
      </c>
      <c r="S135" s="7">
        <v>0.63885905150400812</v>
      </c>
      <c r="T135" s="171">
        <f t="shared" ref="T135:T198" si="4">R135*U$1</f>
        <v>1.2223810226899496</v>
      </c>
      <c r="U135" s="171">
        <f t="shared" ref="U135:U198" si="5">((((S135/R135)^2+(V$1/U$1)^2))^0.5)*T135</f>
        <v>0.47869570230928066</v>
      </c>
    </row>
    <row r="136" spans="1:21" s="42" customFormat="1">
      <c r="A136" s="5">
        <v>206</v>
      </c>
      <c r="B136" s="28">
        <v>20.408999999999999</v>
      </c>
      <c r="C136" s="5" t="s">
        <v>132</v>
      </c>
      <c r="D136" s="5">
        <v>17</v>
      </c>
      <c r="E136" s="5">
        <v>1</v>
      </c>
      <c r="F136" s="24">
        <v>50.01</v>
      </c>
      <c r="G136" s="24">
        <v>-144.93199999999999</v>
      </c>
      <c r="H136" s="5">
        <v>16</v>
      </c>
      <c r="I136" s="25">
        <v>43328.720138888886</v>
      </c>
      <c r="J136" s="26">
        <v>43328.720138888886</v>
      </c>
      <c r="K136" s="7">
        <v>2.2247467800000003</v>
      </c>
      <c r="L136" s="7">
        <v>1.5518357282972237</v>
      </c>
      <c r="M136" s="7">
        <v>6.7617048826443246E-2</v>
      </c>
      <c r="N136" s="6">
        <v>615.45423385013623</v>
      </c>
      <c r="O136" s="6">
        <v>41.541747812938944</v>
      </c>
      <c r="P136" s="7">
        <v>5.3045246601367619</v>
      </c>
      <c r="Q136" s="7">
        <v>1.8998610814664527</v>
      </c>
      <c r="R136" s="67">
        <v>3.2646921606436248</v>
      </c>
      <c r="S136" s="7">
        <v>1.1898605669020714</v>
      </c>
      <c r="T136" s="171">
        <f t="shared" si="4"/>
        <v>2.3083294207118947</v>
      </c>
      <c r="U136" s="171">
        <f t="shared" si="5"/>
        <v>0.89292730432384382</v>
      </c>
    </row>
    <row r="137" spans="1:21" s="42" customFormat="1">
      <c r="A137" s="5">
        <v>207</v>
      </c>
      <c r="B137" s="28">
        <v>35.527000000000001</v>
      </c>
      <c r="C137" s="5" t="s">
        <v>132</v>
      </c>
      <c r="D137" s="5">
        <v>17</v>
      </c>
      <c r="E137" s="5">
        <v>1</v>
      </c>
      <c r="F137" s="24">
        <v>50.01</v>
      </c>
      <c r="G137" s="24">
        <v>-144.93199999999999</v>
      </c>
      <c r="H137" s="5">
        <v>15</v>
      </c>
      <c r="I137" s="25">
        <v>43328.720138888886</v>
      </c>
      <c r="J137" s="26">
        <v>43328.720138888886</v>
      </c>
      <c r="K137" s="7">
        <v>2.2364896200000004</v>
      </c>
      <c r="L137" s="7">
        <v>1.1852698298879862</v>
      </c>
      <c r="M137" s="7">
        <v>6.4045626504036085E-2</v>
      </c>
      <c r="N137" s="6">
        <v>1065.7155116199517</v>
      </c>
      <c r="O137" s="6">
        <v>49.781945524576159</v>
      </c>
      <c r="P137" s="7">
        <v>5.3045246601367619</v>
      </c>
      <c r="Q137" s="7">
        <v>1.8998610814664527</v>
      </c>
      <c r="R137" s="67">
        <v>5.6531142120782993</v>
      </c>
      <c r="S137" s="7">
        <v>2.0418592222654812</v>
      </c>
      <c r="T137" s="171">
        <f t="shared" si="4"/>
        <v>3.9970843228944002</v>
      </c>
      <c r="U137" s="171">
        <f t="shared" si="5"/>
        <v>1.5338718205296586</v>
      </c>
    </row>
    <row r="138" spans="1:21" s="42" customFormat="1">
      <c r="A138" s="5">
        <v>208</v>
      </c>
      <c r="B138" s="28">
        <v>50.195</v>
      </c>
      <c r="C138" s="5" t="s">
        <v>132</v>
      </c>
      <c r="D138" s="5">
        <v>17</v>
      </c>
      <c r="E138" s="5">
        <v>1</v>
      </c>
      <c r="F138" s="24">
        <v>50.01</v>
      </c>
      <c r="G138" s="24">
        <v>-144.93199999999999</v>
      </c>
      <c r="H138" s="5">
        <v>14</v>
      </c>
      <c r="I138" s="25">
        <v>43328.720138888886</v>
      </c>
      <c r="J138" s="26">
        <v>43328.720138888886</v>
      </c>
      <c r="K138" s="7">
        <v>2.2401523800000001</v>
      </c>
      <c r="L138" s="7">
        <v>1.5938024748887993</v>
      </c>
      <c r="M138" s="7">
        <v>7.5309725649981313E-2</v>
      </c>
      <c r="N138" s="6">
        <v>1341.1955419845085</v>
      </c>
      <c r="O138" s="6">
        <v>59.232613271306192</v>
      </c>
      <c r="P138" s="7">
        <v>5.3045246601367619</v>
      </c>
      <c r="Q138" s="7">
        <v>1.8998610814664527</v>
      </c>
      <c r="R138" s="67">
        <v>7.1144048265223159</v>
      </c>
      <c r="S138" s="7">
        <v>2.5673839664119957</v>
      </c>
      <c r="T138" s="171">
        <f t="shared" si="4"/>
        <v>5.0303027556137287</v>
      </c>
      <c r="U138" s="171">
        <f t="shared" si="5"/>
        <v>1.9288486458199761</v>
      </c>
    </row>
    <row r="139" spans="1:21" s="42" customFormat="1">
      <c r="A139" s="5">
        <v>209</v>
      </c>
      <c r="B139" s="28">
        <v>65.165999999999997</v>
      </c>
      <c r="C139" s="5" t="s">
        <v>132</v>
      </c>
      <c r="D139" s="5">
        <v>17</v>
      </c>
      <c r="E139" s="5">
        <v>1</v>
      </c>
      <c r="F139" s="24">
        <v>50.01</v>
      </c>
      <c r="G139" s="24">
        <v>-144.93199999999999</v>
      </c>
      <c r="H139" s="5">
        <v>13</v>
      </c>
      <c r="I139" s="25">
        <v>43328.720138888886</v>
      </c>
      <c r="J139" s="26">
        <v>43328.720138888886</v>
      </c>
      <c r="K139" s="7">
        <v>2.2435872000000003</v>
      </c>
      <c r="L139" s="7">
        <v>1.8206286281952955</v>
      </c>
      <c r="M139" s="7">
        <v>8.1737356501589628E-2</v>
      </c>
      <c r="N139" s="6">
        <v>1523.9700592184483</v>
      </c>
      <c r="O139" s="6">
        <v>68.964531523970834</v>
      </c>
      <c r="P139" s="67">
        <v>4.1861657999999995</v>
      </c>
      <c r="Q139" s="7">
        <v>1.2511867950323745</v>
      </c>
      <c r="R139" s="67">
        <v>6.3795913421242423</v>
      </c>
      <c r="S139" s="7">
        <v>1.9285026314730596</v>
      </c>
      <c r="T139" s="171">
        <f t="shared" si="4"/>
        <v>4.5107463927750668</v>
      </c>
      <c r="U139" s="171">
        <f t="shared" si="5"/>
        <v>1.4836408347123893</v>
      </c>
    </row>
    <row r="140" spans="1:21" s="42" customFormat="1">
      <c r="A140" s="5">
        <v>210</v>
      </c>
      <c r="B140" s="28">
        <v>80.245999999999995</v>
      </c>
      <c r="C140" s="5" t="s">
        <v>132</v>
      </c>
      <c r="D140" s="5">
        <v>17</v>
      </c>
      <c r="E140" s="5">
        <v>1</v>
      </c>
      <c r="F140" s="24">
        <v>50.01</v>
      </c>
      <c r="G140" s="24">
        <v>-144.93199999999999</v>
      </c>
      <c r="H140" s="5">
        <v>12</v>
      </c>
      <c r="I140" s="25">
        <v>43328.720138888886</v>
      </c>
      <c r="J140" s="26">
        <v>43328.720138888886</v>
      </c>
      <c r="K140" s="7">
        <v>2.2454185799999999</v>
      </c>
      <c r="L140" s="7">
        <v>1.914898723447362</v>
      </c>
      <c r="M140" s="7">
        <v>8.5409955028973084E-2</v>
      </c>
      <c r="N140" s="6">
        <v>1666.84149786749</v>
      </c>
      <c r="O140" s="6">
        <v>78.225056778252721</v>
      </c>
      <c r="P140" s="67">
        <v>3.0747697999999994</v>
      </c>
      <c r="Q140" s="7">
        <v>0.73775530313354265</v>
      </c>
      <c r="R140" s="67">
        <v>5.1251538990297218</v>
      </c>
      <c r="S140" s="7">
        <v>1.2530227183812099</v>
      </c>
      <c r="T140" s="171">
        <f t="shared" si="4"/>
        <v>3.6237853214540841</v>
      </c>
      <c r="U140" s="171">
        <f t="shared" si="5"/>
        <v>1.0027841936913118</v>
      </c>
    </row>
    <row r="141" spans="1:21" s="42" customFormat="1">
      <c r="A141" s="5">
        <v>211</v>
      </c>
      <c r="B141" s="28">
        <v>95.225999999999999</v>
      </c>
      <c r="C141" s="5" t="s">
        <v>132</v>
      </c>
      <c r="D141" s="5">
        <v>17</v>
      </c>
      <c r="E141" s="5">
        <v>1</v>
      </c>
      <c r="F141" s="24">
        <v>50.01</v>
      </c>
      <c r="G141" s="24">
        <v>-144.93199999999999</v>
      </c>
      <c r="H141" s="5">
        <v>11</v>
      </c>
      <c r="I141" s="25">
        <v>43328.720138888886</v>
      </c>
      <c r="J141" s="26">
        <v>43328.720138888886</v>
      </c>
      <c r="K141" s="7">
        <v>2.2592993400000001</v>
      </c>
      <c r="L141" s="7">
        <v>2.2177563797187987</v>
      </c>
      <c r="M141" s="7">
        <v>8.9633487720549659E-2</v>
      </c>
      <c r="N141" s="6">
        <v>1684.5612138669303</v>
      </c>
      <c r="O141" s="6">
        <v>87.06815030439995</v>
      </c>
      <c r="P141" s="67">
        <v>1.9707437999999993</v>
      </c>
      <c r="Q141" s="7">
        <v>0.3574565966287907</v>
      </c>
      <c r="R141" s="67">
        <v>3.3198385679487257</v>
      </c>
      <c r="S141" s="7">
        <v>0.62612815601936678</v>
      </c>
      <c r="T141" s="171">
        <f t="shared" si="4"/>
        <v>2.3473211749616518</v>
      </c>
      <c r="U141" s="171">
        <f t="shared" si="5"/>
        <v>0.53718987517715988</v>
      </c>
    </row>
    <row r="142" spans="1:21" s="42" customFormat="1">
      <c r="A142" s="5">
        <v>212</v>
      </c>
      <c r="B142" s="28">
        <v>109.90799999999901</v>
      </c>
      <c r="C142" s="5" t="s">
        <v>132</v>
      </c>
      <c r="D142" s="5">
        <v>17</v>
      </c>
      <c r="E142" s="5">
        <v>1</v>
      </c>
      <c r="F142" s="24">
        <v>50.01</v>
      </c>
      <c r="G142" s="24">
        <v>-144.93199999999999</v>
      </c>
      <c r="H142" s="5">
        <v>10</v>
      </c>
      <c r="I142" s="25">
        <v>43328.720138888886</v>
      </c>
      <c r="J142" s="26">
        <v>43328.720138888886</v>
      </c>
      <c r="K142" s="7">
        <v>2.2838382600000005</v>
      </c>
      <c r="L142" s="7">
        <v>2.4636330765521386</v>
      </c>
      <c r="M142" s="7">
        <v>9.2445493719682567E-2</v>
      </c>
      <c r="N142" s="6">
        <v>1606.8891411289355</v>
      </c>
      <c r="O142" s="6">
        <v>95.79046058405811</v>
      </c>
      <c r="P142" s="67">
        <v>1.5164292000000101</v>
      </c>
      <c r="Q142" s="7">
        <v>0.27520380946549822</v>
      </c>
      <c r="R142" s="67">
        <v>2.4367336147708554</v>
      </c>
      <c r="S142" s="7">
        <v>0.4654681697595861</v>
      </c>
      <c r="T142" s="171">
        <f t="shared" si="4"/>
        <v>1.7229140196496502</v>
      </c>
      <c r="U142" s="171">
        <f t="shared" si="5"/>
        <v>0.39773510307557003</v>
      </c>
    </row>
    <row r="143" spans="1:21" s="42" customFormat="1">
      <c r="A143" s="5">
        <v>213</v>
      </c>
      <c r="B143" s="28">
        <v>125.26799999999901</v>
      </c>
      <c r="C143" s="5" t="s">
        <v>132</v>
      </c>
      <c r="D143" s="5">
        <v>17</v>
      </c>
      <c r="E143" s="5">
        <v>1</v>
      </c>
      <c r="F143" s="24">
        <v>50.01</v>
      </c>
      <c r="G143" s="24">
        <v>-144.93199999999999</v>
      </c>
      <c r="H143" s="5">
        <v>9</v>
      </c>
      <c r="I143" s="25">
        <v>43328.720138888886</v>
      </c>
      <c r="J143" s="26">
        <v>43328.720138888886</v>
      </c>
      <c r="K143" s="7">
        <v>2.3096112000000004</v>
      </c>
      <c r="L143" s="7">
        <v>2.650811810648448</v>
      </c>
      <c r="M143" s="7">
        <v>0.1010758701844075</v>
      </c>
      <c r="N143" s="6">
        <v>1436.5121516043814</v>
      </c>
      <c r="O143" s="6">
        <v>108.27378726946601</v>
      </c>
      <c r="P143" s="67">
        <v>1.3612932000000102</v>
      </c>
      <c r="Q143" s="7">
        <v>0.28671475156290682</v>
      </c>
      <c r="R143" s="67">
        <v>1.9555142236964282</v>
      </c>
      <c r="S143" s="7">
        <v>0.43744801869760813</v>
      </c>
      <c r="T143" s="171">
        <f t="shared" si="4"/>
        <v>1.382663599832068</v>
      </c>
      <c r="U143" s="171">
        <f t="shared" si="5"/>
        <v>0.35747735278630582</v>
      </c>
    </row>
    <row r="144" spans="1:21" s="42" customFormat="1">
      <c r="A144" s="5">
        <v>214</v>
      </c>
      <c r="B144" s="28">
        <v>144.63299999999899</v>
      </c>
      <c r="C144" s="5" t="s">
        <v>132</v>
      </c>
      <c r="D144" s="5">
        <v>17</v>
      </c>
      <c r="E144" s="5">
        <v>1</v>
      </c>
      <c r="F144" s="24">
        <v>50.01</v>
      </c>
      <c r="G144" s="24">
        <v>-144.93199999999999</v>
      </c>
      <c r="H144" s="5">
        <v>8</v>
      </c>
      <c r="I144" s="25">
        <v>43328.720138888886</v>
      </c>
      <c r="J144" s="26">
        <v>43328.720138888886</v>
      </c>
      <c r="K144" s="7">
        <v>2.33149344</v>
      </c>
      <c r="L144" s="7">
        <v>2.5615677645294417</v>
      </c>
      <c r="M144" s="7">
        <v>0.10339518741230516</v>
      </c>
      <c r="N144" s="6">
        <v>1204.4726932468332</v>
      </c>
      <c r="O144" s="6">
        <v>150.32358547146399</v>
      </c>
      <c r="P144" s="67">
        <v>1.1657067000000103</v>
      </c>
      <c r="Q144" s="7">
        <v>0.28834314880286699</v>
      </c>
      <c r="R144" s="67">
        <v>1.4040618884848908</v>
      </c>
      <c r="S144" s="7">
        <v>0.38900510875874067</v>
      </c>
      <c r="T144" s="171">
        <f t="shared" si="4"/>
        <v>0.99275435667754208</v>
      </c>
      <c r="U144" s="171">
        <f t="shared" si="5"/>
        <v>0.30366475887630967</v>
      </c>
    </row>
    <row r="145" spans="1:21" s="42" customFormat="1">
      <c r="A145" s="5">
        <v>215</v>
      </c>
      <c r="B145" s="28">
        <v>195.40299999999999</v>
      </c>
      <c r="C145" s="5" t="s">
        <v>132</v>
      </c>
      <c r="D145" s="5">
        <v>17</v>
      </c>
      <c r="E145" s="5">
        <v>1</v>
      </c>
      <c r="F145" s="24">
        <v>50.01</v>
      </c>
      <c r="G145" s="24">
        <v>-144.93199999999999</v>
      </c>
      <c r="H145" s="5">
        <v>7</v>
      </c>
      <c r="I145" s="25">
        <v>43328.720138888886</v>
      </c>
      <c r="J145" s="26">
        <v>43328.720138888886</v>
      </c>
      <c r="K145" s="7">
        <v>2.3387718</v>
      </c>
      <c r="L145" s="7">
        <v>2.5494712970176696</v>
      </c>
      <c r="M145" s="7">
        <v>9.801727800292305E-2</v>
      </c>
      <c r="N145" s="6">
        <v>975.37901214779959</v>
      </c>
      <c r="O145" s="6">
        <v>184.26950168061438</v>
      </c>
      <c r="P145" s="67">
        <v>1.0349746</v>
      </c>
      <c r="Q145" s="7">
        <v>7.9512186528548426E-2</v>
      </c>
      <c r="R145" s="67">
        <v>1.009492502946064</v>
      </c>
      <c r="S145" s="7">
        <v>0.20588013467715471</v>
      </c>
      <c r="T145" s="171">
        <f t="shared" si="4"/>
        <v>0.71377058842788044</v>
      </c>
      <c r="U145" s="171">
        <f t="shared" si="5"/>
        <v>0.17248440795065287</v>
      </c>
    </row>
    <row r="146" spans="1:21" s="42" customFormat="1">
      <c r="A146" s="5">
        <v>216</v>
      </c>
      <c r="B146" s="28">
        <v>220.245</v>
      </c>
      <c r="C146" s="5" t="s">
        <v>132</v>
      </c>
      <c r="D146" s="5">
        <v>17</v>
      </c>
      <c r="E146" s="5">
        <v>1</v>
      </c>
      <c r="F146" s="24">
        <v>50.01</v>
      </c>
      <c r="G146" s="24">
        <v>-144.93199999999999</v>
      </c>
      <c r="H146" s="5">
        <v>6</v>
      </c>
      <c r="I146" s="25">
        <v>43328.720138888886</v>
      </c>
      <c r="J146" s="26">
        <v>43328.720138888886</v>
      </c>
      <c r="K146" s="7">
        <v>2.3408075400000001</v>
      </c>
      <c r="L146" s="7">
        <v>2.4681223996758979</v>
      </c>
      <c r="M146" s="7">
        <v>9.9753573079158192E-2</v>
      </c>
      <c r="N146" s="6">
        <v>876.35902957160772</v>
      </c>
      <c r="O146" s="6">
        <v>199.93630865464024</v>
      </c>
      <c r="P146" s="67">
        <v>1.0071285000000001</v>
      </c>
      <c r="Q146" s="7">
        <v>7.4683961376832531E-2</v>
      </c>
      <c r="R146" s="67">
        <v>0.88260615491390904</v>
      </c>
      <c r="S146" s="7">
        <v>0.21173137098708966</v>
      </c>
      <c r="T146" s="171">
        <f t="shared" si="4"/>
        <v>0.62405447559488103</v>
      </c>
      <c r="U146" s="171">
        <f t="shared" si="5"/>
        <v>0.17016387871389416</v>
      </c>
    </row>
    <row r="147" spans="1:21" s="42" customFormat="1">
      <c r="A147" s="5">
        <v>217</v>
      </c>
      <c r="B147" s="28">
        <v>249.489</v>
      </c>
      <c r="C147" s="5" t="s">
        <v>132</v>
      </c>
      <c r="D147" s="5">
        <v>17</v>
      </c>
      <c r="E147" s="5">
        <v>1</v>
      </c>
      <c r="F147" s="24">
        <v>50.01</v>
      </c>
      <c r="G147" s="24">
        <v>-144.93199999999999</v>
      </c>
      <c r="H147" s="5">
        <v>5</v>
      </c>
      <c r="I147" s="25">
        <v>43328.720138888886</v>
      </c>
      <c r="J147" s="26">
        <v>43328.720138888886</v>
      </c>
      <c r="K147" s="7">
        <v>2.3441952000000001</v>
      </c>
      <c r="L147" s="7">
        <v>2.4108985261017724</v>
      </c>
      <c r="M147" s="7">
        <v>9.9061139752787977E-2</v>
      </c>
      <c r="N147" s="6">
        <v>824.22300817147209</v>
      </c>
      <c r="O147" s="6">
        <v>214.40499831378452</v>
      </c>
      <c r="P147" s="67">
        <v>0.98665769999999997</v>
      </c>
      <c r="Q147" s="7">
        <v>9.5700773825649288E-2</v>
      </c>
      <c r="R147" s="67">
        <v>0.81322597752954584</v>
      </c>
      <c r="S147" s="7">
        <v>0.22577172261086528</v>
      </c>
      <c r="T147" s="171">
        <f t="shared" si="4"/>
        <v>0.57499860852073637</v>
      </c>
      <c r="U147" s="171">
        <f t="shared" si="5"/>
        <v>0.17617699841912485</v>
      </c>
    </row>
    <row r="148" spans="1:21" s="42" customFormat="1">
      <c r="A148" s="5">
        <v>218</v>
      </c>
      <c r="B148" s="28">
        <v>274.59899999999999</v>
      </c>
      <c r="C148" s="5" t="s">
        <v>132</v>
      </c>
      <c r="D148" s="5">
        <v>17</v>
      </c>
      <c r="E148" s="5">
        <v>1</v>
      </c>
      <c r="F148" s="24">
        <v>50.01</v>
      </c>
      <c r="G148" s="24">
        <v>-144.93199999999999</v>
      </c>
      <c r="H148" s="5">
        <v>4</v>
      </c>
      <c r="I148" s="25">
        <v>43328.720138888886</v>
      </c>
      <c r="J148" s="26">
        <v>43328.720138888886</v>
      </c>
      <c r="K148" s="7">
        <v>2.3470719600000001</v>
      </c>
      <c r="L148" s="7">
        <v>2.2793701518970089</v>
      </c>
      <c r="M148" s="7">
        <v>9.5449859137189591E-2</v>
      </c>
      <c r="N148" s="6">
        <v>873.06513848561076</v>
      </c>
      <c r="O148" s="6">
        <v>225.1916067783834</v>
      </c>
      <c r="P148" s="67">
        <v>0.96908070000000002</v>
      </c>
      <c r="Q148" s="7">
        <v>0.1130004487005933</v>
      </c>
      <c r="R148" s="67">
        <v>0.84607057554923271</v>
      </c>
      <c r="S148" s="7">
        <v>0.23949317604155457</v>
      </c>
      <c r="T148" s="171">
        <f t="shared" si="4"/>
        <v>0.59822167158140549</v>
      </c>
      <c r="U148" s="171">
        <f t="shared" si="5"/>
        <v>0.18624650021417596</v>
      </c>
    </row>
    <row r="149" spans="1:21" s="42" customFormat="1">
      <c r="A149" s="5">
        <v>219</v>
      </c>
      <c r="B149" s="28">
        <v>299.65800000000002</v>
      </c>
      <c r="C149" s="5" t="s">
        <v>132</v>
      </c>
      <c r="D149" s="5">
        <v>17</v>
      </c>
      <c r="E149" s="5">
        <v>1</v>
      </c>
      <c r="F149" s="24">
        <v>50.01</v>
      </c>
      <c r="G149" s="24">
        <v>-144.93199999999999</v>
      </c>
      <c r="H149" s="5">
        <v>3</v>
      </c>
      <c r="I149" s="25">
        <v>43328.720138888886</v>
      </c>
      <c r="J149" s="26">
        <v>43328.720138888886</v>
      </c>
      <c r="K149" s="7">
        <v>2.3489583600000001</v>
      </c>
      <c r="L149" s="7">
        <v>2.3333914936334823</v>
      </c>
      <c r="M149" s="7">
        <v>9.8265536442189827E-2</v>
      </c>
      <c r="N149" s="6">
        <v>885.42062414486793</v>
      </c>
      <c r="O149" s="6">
        <v>238.31551823535352</v>
      </c>
      <c r="P149" s="67">
        <v>0.95153939999999992</v>
      </c>
      <c r="Q149" s="7">
        <v>0.12957768381678123</v>
      </c>
      <c r="R149" s="67">
        <v>0.84251260944643314</v>
      </c>
      <c r="S149" s="7">
        <v>0.25413822831022032</v>
      </c>
      <c r="T149" s="171">
        <f t="shared" si="4"/>
        <v>0.59570598023016674</v>
      </c>
      <c r="U149" s="171">
        <f t="shared" si="5"/>
        <v>0.19557972738681706</v>
      </c>
    </row>
    <row r="150" spans="1:21" s="42" customFormat="1">
      <c r="A150" s="5">
        <v>220</v>
      </c>
      <c r="B150" s="28">
        <v>329.79399999999998</v>
      </c>
      <c r="C150" s="5" t="s">
        <v>132</v>
      </c>
      <c r="D150" s="5">
        <v>17</v>
      </c>
      <c r="E150" s="5">
        <v>1</v>
      </c>
      <c r="F150" s="24">
        <v>50.01</v>
      </c>
      <c r="G150" s="24">
        <v>-144.93199999999999</v>
      </c>
      <c r="H150" s="5">
        <v>2</v>
      </c>
      <c r="I150" s="25">
        <v>43328.720138888886</v>
      </c>
      <c r="J150" s="26">
        <v>43328.720138888886</v>
      </c>
      <c r="K150" s="7">
        <v>2.3515364400000003</v>
      </c>
      <c r="L150" s="7">
        <v>2.2686949865010693</v>
      </c>
      <c r="M150" s="7">
        <v>9.7818996268968575E-2</v>
      </c>
      <c r="N150" s="6">
        <v>1125.1247904712943</v>
      </c>
      <c r="O150" s="6">
        <v>370.00963524785573</v>
      </c>
      <c r="P150" s="67">
        <v>0.93978100734870584</v>
      </c>
      <c r="Q150" s="7">
        <v>0.1503684181233878</v>
      </c>
      <c r="R150" s="67">
        <v>1.0573709089821146</v>
      </c>
      <c r="S150" s="7">
        <v>0.38670110972201699</v>
      </c>
      <c r="T150" s="171">
        <f t="shared" si="4"/>
        <v>0.74762343820101707</v>
      </c>
      <c r="U150" s="171">
        <f t="shared" si="5"/>
        <v>0.29008693842980465</v>
      </c>
    </row>
    <row r="151" spans="1:21" s="42" customFormat="1">
      <c r="A151" s="5">
        <v>221</v>
      </c>
      <c r="B151" s="28">
        <v>500.87699999999899</v>
      </c>
      <c r="C151" s="5" t="s">
        <v>132</v>
      </c>
      <c r="D151" s="5">
        <v>17</v>
      </c>
      <c r="E151" s="5">
        <v>1</v>
      </c>
      <c r="F151" s="24">
        <v>50.01</v>
      </c>
      <c r="G151" s="24">
        <v>-144.93199999999999</v>
      </c>
      <c r="H151" s="5">
        <v>1</v>
      </c>
      <c r="I151" s="25">
        <v>43328.720138888886</v>
      </c>
      <c r="J151" s="26">
        <v>43328.720138888886</v>
      </c>
      <c r="K151" s="7">
        <v>2.3646705000000003</v>
      </c>
      <c r="L151" s="7">
        <v>2.3574286795820889</v>
      </c>
      <c r="M151" s="7">
        <v>9.5669358543589517E-2</v>
      </c>
      <c r="N151" s="6">
        <v>1142.9409254448715</v>
      </c>
      <c r="O151" s="6">
        <v>438.52363404130955</v>
      </c>
      <c r="P151" s="68">
        <v>0.87680272990205399</v>
      </c>
      <c r="Q151" s="7">
        <v>0.15828163628098546</v>
      </c>
      <c r="R151" s="67">
        <v>1.0021337235468433</v>
      </c>
      <c r="S151" s="7">
        <v>0.42493111048640975</v>
      </c>
      <c r="T151" s="171">
        <f t="shared" si="4"/>
        <v>0.70856749847271572</v>
      </c>
      <c r="U151" s="171">
        <f t="shared" si="5"/>
        <v>0.31417679945386334</v>
      </c>
    </row>
    <row r="152" spans="1:21" s="42" customFormat="1">
      <c r="A152" s="5">
        <v>222</v>
      </c>
      <c r="B152" s="28">
        <v>5.0549999999999997</v>
      </c>
      <c r="C152" s="5" t="s">
        <v>133</v>
      </c>
      <c r="D152" s="5">
        <v>18</v>
      </c>
      <c r="E152" s="5">
        <v>1</v>
      </c>
      <c r="F152" s="24">
        <v>49.948</v>
      </c>
      <c r="G152" s="24">
        <v>-144.989</v>
      </c>
      <c r="H152" s="5">
        <v>17</v>
      </c>
      <c r="I152" s="25">
        <v>43328.797222222223</v>
      </c>
      <c r="J152" s="26">
        <v>43328.797222222223</v>
      </c>
      <c r="K152" s="7">
        <v>2.2243459200000002</v>
      </c>
      <c r="L152" s="7">
        <v>1.3951688053435376</v>
      </c>
      <c r="M152" s="7">
        <v>7.2561050809025196E-2</v>
      </c>
      <c r="N152" s="6">
        <v>302.66782241196222</v>
      </c>
      <c r="O152" s="6">
        <v>26.486374083527924</v>
      </c>
      <c r="P152" s="7">
        <v>5.3045246601367619</v>
      </c>
      <c r="Q152" s="7">
        <v>1.8998610814664527</v>
      </c>
      <c r="R152" s="67">
        <v>1.6055089278141477</v>
      </c>
      <c r="S152" s="7">
        <v>0.59194207662512655</v>
      </c>
      <c r="T152" s="171">
        <f t="shared" si="4"/>
        <v>1.135189264692684</v>
      </c>
      <c r="U152" s="171">
        <f t="shared" si="5"/>
        <v>0.44365165362458964</v>
      </c>
    </row>
    <row r="153" spans="1:21" s="42" customFormat="1">
      <c r="A153" s="5">
        <v>223</v>
      </c>
      <c r="B153" s="28">
        <v>20.329000000000001</v>
      </c>
      <c r="C153" s="5" t="s">
        <v>133</v>
      </c>
      <c r="D153" s="5">
        <v>18</v>
      </c>
      <c r="E153" s="5">
        <v>1</v>
      </c>
      <c r="F153" s="24">
        <v>49.948</v>
      </c>
      <c r="G153" s="24">
        <v>-144.989</v>
      </c>
      <c r="H153" s="5">
        <v>16</v>
      </c>
      <c r="I153" s="25">
        <v>43328.797222222223</v>
      </c>
      <c r="J153" s="26">
        <v>43328.797222222223</v>
      </c>
      <c r="K153" s="7">
        <v>2.2244088</v>
      </c>
      <c r="L153" s="7">
        <v>1.5090947848531435</v>
      </c>
      <c r="M153" s="7">
        <v>6.5947601764368272E-2</v>
      </c>
      <c r="N153" s="6">
        <v>760.54842086211579</v>
      </c>
      <c r="O153" s="6">
        <v>49.835062598927436</v>
      </c>
      <c r="P153" s="7">
        <v>5.3045246601367619</v>
      </c>
      <c r="Q153" s="7">
        <v>1.8998610814664527</v>
      </c>
      <c r="R153" s="67">
        <v>4.0343478536911661</v>
      </c>
      <c r="S153" s="7">
        <v>1.4689188751432036</v>
      </c>
      <c r="T153" s="171">
        <f t="shared" si="4"/>
        <v>2.8525212748467075</v>
      </c>
      <c r="U153" s="171">
        <f t="shared" si="5"/>
        <v>1.1024682693008447</v>
      </c>
    </row>
    <row r="154" spans="1:21" s="42" customFormat="1">
      <c r="A154" s="5">
        <v>225</v>
      </c>
      <c r="B154" s="28">
        <v>49.568999999999903</v>
      </c>
      <c r="C154" s="5" t="s">
        <v>133</v>
      </c>
      <c r="D154" s="5">
        <v>18</v>
      </c>
      <c r="E154" s="5">
        <v>1</v>
      </c>
      <c r="F154" s="24">
        <v>49.948</v>
      </c>
      <c r="G154" s="24">
        <v>-144.989</v>
      </c>
      <c r="H154" s="5">
        <v>14</v>
      </c>
      <c r="I154" s="25">
        <v>43328.797222222223</v>
      </c>
      <c r="J154" s="26">
        <v>43328.797222222223</v>
      </c>
      <c r="K154" s="7">
        <v>2.2401838199999999</v>
      </c>
      <c r="L154" s="7">
        <v>1.6481458645852642</v>
      </c>
      <c r="M154" s="7">
        <v>8.0297470353723283E-2</v>
      </c>
      <c r="N154" s="6">
        <v>1141.4682108206832</v>
      </c>
      <c r="O154" s="6">
        <v>71.782139768450051</v>
      </c>
      <c r="P154" s="7">
        <v>5.3045246601367619</v>
      </c>
      <c r="Q154" s="7">
        <v>1.8998610814664527</v>
      </c>
      <c r="R154" s="67">
        <v>6.0549462730605024</v>
      </c>
      <c r="S154" s="7">
        <v>2.2018052671168156</v>
      </c>
      <c r="T154" s="171">
        <f t="shared" si="4"/>
        <v>4.2812032299486109</v>
      </c>
      <c r="U154" s="171">
        <f t="shared" si="5"/>
        <v>1.6527599925576906</v>
      </c>
    </row>
    <row r="155" spans="1:21" s="42" customFormat="1">
      <c r="A155" s="5">
        <v>226</v>
      </c>
      <c r="B155" s="28">
        <v>65.072000000000003</v>
      </c>
      <c r="C155" s="5" t="s">
        <v>133</v>
      </c>
      <c r="D155" s="5">
        <v>18</v>
      </c>
      <c r="E155" s="5">
        <v>1</v>
      </c>
      <c r="F155" s="24">
        <v>49.948</v>
      </c>
      <c r="G155" s="24">
        <v>-144.989</v>
      </c>
      <c r="H155" s="5">
        <v>13</v>
      </c>
      <c r="I155" s="25">
        <v>43328.797222222223</v>
      </c>
      <c r="J155" s="26">
        <v>43328.797222222223</v>
      </c>
      <c r="K155" s="7">
        <v>2.2413471</v>
      </c>
      <c r="L155" s="7">
        <v>1.9614362878235285</v>
      </c>
      <c r="M155" s="7">
        <v>8.2726446229960893E-2</v>
      </c>
      <c r="N155" s="6">
        <v>1264.3751730449305</v>
      </c>
      <c r="O155" s="6">
        <v>80.449699868081169</v>
      </c>
      <c r="P155" s="67">
        <v>4.1930935999999992</v>
      </c>
      <c r="Q155" s="7">
        <v>1.2547981536684669</v>
      </c>
      <c r="R155" s="67">
        <v>5.30164344609359</v>
      </c>
      <c r="S155" s="7">
        <v>1.6220015254990194</v>
      </c>
      <c r="T155" s="171">
        <f t="shared" si="4"/>
        <v>3.7485738141784104</v>
      </c>
      <c r="U155" s="171">
        <f t="shared" si="5"/>
        <v>1.2455416197454947</v>
      </c>
    </row>
    <row r="156" spans="1:21" s="42" customFormat="1">
      <c r="A156" s="5">
        <v>227</v>
      </c>
      <c r="B156" s="28">
        <v>80.103999999999999</v>
      </c>
      <c r="C156" s="5" t="s">
        <v>133</v>
      </c>
      <c r="D156" s="5">
        <v>18</v>
      </c>
      <c r="E156" s="5">
        <v>1</v>
      </c>
      <c r="F156" s="24">
        <v>49.948</v>
      </c>
      <c r="G156" s="24">
        <v>-144.989</v>
      </c>
      <c r="H156" s="5">
        <v>12</v>
      </c>
      <c r="I156" s="25">
        <v>43328.797222222223</v>
      </c>
      <c r="J156" s="26">
        <v>43328.797222222223</v>
      </c>
      <c r="K156" s="7">
        <v>2.2455915000000002</v>
      </c>
      <c r="L156" s="7">
        <v>2.0333831551067116</v>
      </c>
      <c r="M156" s="7">
        <v>8.8755558536546111E-2</v>
      </c>
      <c r="N156" s="6">
        <v>1354.8904271040421</v>
      </c>
      <c r="O156" s="6">
        <v>88.912113715081446</v>
      </c>
      <c r="P156" s="67">
        <v>3.0852351999999987</v>
      </c>
      <c r="Q156" s="7">
        <v>0.74197890050273263</v>
      </c>
      <c r="R156" s="67">
        <v>4.1801556378444227</v>
      </c>
      <c r="S156" s="7">
        <v>1.042054178105861</v>
      </c>
      <c r="T156" s="171">
        <f t="shared" si="4"/>
        <v>2.95561595617293</v>
      </c>
      <c r="U156" s="171">
        <f t="shared" si="5"/>
        <v>0.83045007639381396</v>
      </c>
    </row>
    <row r="157" spans="1:21" s="42" customFormat="1">
      <c r="A157" s="5">
        <v>228</v>
      </c>
      <c r="B157" s="28">
        <v>94.733999999999995</v>
      </c>
      <c r="C157" s="5" t="s">
        <v>133</v>
      </c>
      <c r="D157" s="5">
        <v>18</v>
      </c>
      <c r="E157" s="5">
        <v>1</v>
      </c>
      <c r="F157" s="24">
        <v>49.948</v>
      </c>
      <c r="G157" s="24">
        <v>-144.989</v>
      </c>
      <c r="H157" s="5">
        <v>11</v>
      </c>
      <c r="I157" s="25">
        <v>43328.797222222223</v>
      </c>
      <c r="J157" s="26">
        <v>43328.797222222223</v>
      </c>
      <c r="K157" s="7">
        <v>2.2572635999999999</v>
      </c>
      <c r="L157" s="7">
        <v>2.4455085077013159</v>
      </c>
      <c r="M157" s="7">
        <v>9.3896695299287083E-2</v>
      </c>
      <c r="N157" s="6">
        <v>1271.6188690508629</v>
      </c>
      <c r="O157" s="6">
        <v>98.135600248204369</v>
      </c>
      <c r="P157" s="67">
        <v>2.0070041999999999</v>
      </c>
      <c r="Q157" s="7">
        <v>0.36789349143813482</v>
      </c>
      <c r="R157" s="67">
        <v>2.5521444109843321</v>
      </c>
      <c r="S157" s="7">
        <v>0.50759089170703553</v>
      </c>
      <c r="T157" s="171">
        <f t="shared" si="4"/>
        <v>1.8045162422355716</v>
      </c>
      <c r="U157" s="171">
        <f t="shared" si="5"/>
        <v>0.42839346963757208</v>
      </c>
    </row>
    <row r="158" spans="1:21" s="42" customFormat="1">
      <c r="A158" s="5">
        <v>229</v>
      </c>
      <c r="B158" s="28">
        <v>110.866</v>
      </c>
      <c r="C158" s="5" t="s">
        <v>133</v>
      </c>
      <c r="D158" s="5">
        <v>18</v>
      </c>
      <c r="E158" s="5">
        <v>1</v>
      </c>
      <c r="F158" s="24">
        <v>49.948</v>
      </c>
      <c r="G158" s="24">
        <v>-144.989</v>
      </c>
      <c r="H158" s="5">
        <v>10</v>
      </c>
      <c r="I158" s="25">
        <v>43328.797222222223</v>
      </c>
      <c r="J158" s="26">
        <v>43328.797222222223</v>
      </c>
      <c r="K158" s="7">
        <v>2.2826199600000003</v>
      </c>
      <c r="L158" s="7">
        <v>2.5192482654388551</v>
      </c>
      <c r="M158" s="7">
        <v>9.4757137016671822E-2</v>
      </c>
      <c r="N158" s="6">
        <v>1168.9011103735177</v>
      </c>
      <c r="O158" s="6">
        <v>106.40734340606207</v>
      </c>
      <c r="P158" s="67">
        <v>1.5067534</v>
      </c>
      <c r="Q158" s="7">
        <v>0.27618609312942682</v>
      </c>
      <c r="R158" s="67">
        <v>1.7612457223190732</v>
      </c>
      <c r="S158" s="7">
        <v>0.36045461542445695</v>
      </c>
      <c r="T158" s="171">
        <f t="shared" si="4"/>
        <v>1.2453043404651603</v>
      </c>
      <c r="U158" s="171">
        <f t="shared" si="5"/>
        <v>0.30168236249565772</v>
      </c>
    </row>
    <row r="159" spans="1:21" s="42" customFormat="1">
      <c r="A159" s="5">
        <v>230</v>
      </c>
      <c r="B159" s="28">
        <v>124.92100000000001</v>
      </c>
      <c r="C159" s="5" t="s">
        <v>133</v>
      </c>
      <c r="D159" s="5">
        <v>18</v>
      </c>
      <c r="E159" s="5">
        <v>1</v>
      </c>
      <c r="F159" s="24">
        <v>49.948</v>
      </c>
      <c r="G159" s="24">
        <v>-144.989</v>
      </c>
      <c r="H159" s="5">
        <v>9</v>
      </c>
      <c r="I159" s="25">
        <v>43328.797222222223</v>
      </c>
      <c r="J159" s="26">
        <v>43328.797222222223</v>
      </c>
      <c r="K159" s="7">
        <v>2.3128023600000001</v>
      </c>
      <c r="L159" s="7">
        <v>2.4691119196277569</v>
      </c>
      <c r="M159" s="7">
        <v>0.10530854070139345</v>
      </c>
      <c r="N159" s="6">
        <v>1090.1316088283002</v>
      </c>
      <c r="O159" s="6">
        <v>118.90660142969959</v>
      </c>
      <c r="P159" s="67">
        <v>1.3647979000000001</v>
      </c>
      <c r="Q159" s="7">
        <v>0.28655451885921235</v>
      </c>
      <c r="R159" s="67">
        <v>1.4878093304524858</v>
      </c>
      <c r="S159" s="7">
        <v>0.35202063634362696</v>
      </c>
      <c r="T159" s="171">
        <f t="shared" si="4"/>
        <v>1.0519687250439149</v>
      </c>
      <c r="U159" s="171">
        <f t="shared" si="5"/>
        <v>0.28380510522472235</v>
      </c>
    </row>
    <row r="160" spans="1:21" s="42" customFormat="1">
      <c r="A160" s="5">
        <v>231</v>
      </c>
      <c r="B160" s="28">
        <v>145.91</v>
      </c>
      <c r="C160" s="5" t="s">
        <v>133</v>
      </c>
      <c r="D160" s="5">
        <v>18</v>
      </c>
      <c r="E160" s="5">
        <v>1</v>
      </c>
      <c r="F160" s="24">
        <v>49.948</v>
      </c>
      <c r="G160" s="24">
        <v>-144.989</v>
      </c>
      <c r="H160" s="5">
        <v>8</v>
      </c>
      <c r="I160" s="25">
        <v>43328.797222222223</v>
      </c>
      <c r="J160" s="26">
        <v>43328.797222222223</v>
      </c>
      <c r="K160" s="7">
        <v>2.3325388200000003</v>
      </c>
      <c r="L160" s="7">
        <v>2.4057543265549892</v>
      </c>
      <c r="M160" s="7">
        <v>9.333230706872174E-2</v>
      </c>
      <c r="N160" s="6">
        <v>1017.0287867951398</v>
      </c>
      <c r="O160" s="6">
        <v>151.07252045416044</v>
      </c>
      <c r="P160" s="67">
        <v>1.1528090000000002</v>
      </c>
      <c r="Q160" s="7">
        <v>0.28794548485143007</v>
      </c>
      <c r="R160" s="67">
        <v>1.1724399386765185</v>
      </c>
      <c r="S160" s="7">
        <v>0.34072184118114496</v>
      </c>
      <c r="T160" s="171">
        <f t="shared" si="4"/>
        <v>0.82898401175169378</v>
      </c>
      <c r="U160" s="171">
        <f t="shared" si="5"/>
        <v>0.26378940972798426</v>
      </c>
    </row>
    <row r="161" spans="1:21" s="42" customFormat="1">
      <c r="A161" s="5">
        <v>232</v>
      </c>
      <c r="B161" s="28">
        <v>194.35499999999999</v>
      </c>
      <c r="C161" s="5" t="s">
        <v>133</v>
      </c>
      <c r="D161" s="5">
        <v>18</v>
      </c>
      <c r="E161" s="5">
        <v>1</v>
      </c>
      <c r="F161" s="24">
        <v>49.948</v>
      </c>
      <c r="G161" s="24">
        <v>-144.989</v>
      </c>
      <c r="H161" s="5">
        <v>7</v>
      </c>
      <c r="I161" s="25">
        <v>43328.797222222223</v>
      </c>
      <c r="J161" s="26">
        <v>43328.797222222223</v>
      </c>
      <c r="K161" s="7">
        <v>2.3390704800000006</v>
      </c>
      <c r="L161" s="7">
        <v>2.284224842941371</v>
      </c>
      <c r="M161" s="7">
        <v>9.2294430216009665E-2</v>
      </c>
      <c r="N161" s="6">
        <v>1076.3343876940091</v>
      </c>
      <c r="O161" s="6">
        <v>181.06043512046062</v>
      </c>
      <c r="P161" s="67">
        <v>1.036861</v>
      </c>
      <c r="Q161" s="7">
        <v>8.3984071653790029E-2</v>
      </c>
      <c r="R161" s="67">
        <v>1.116009149558798</v>
      </c>
      <c r="S161" s="7">
        <v>0.20836384016061155</v>
      </c>
      <c r="T161" s="171">
        <f t="shared" si="4"/>
        <v>0.78908412399972205</v>
      </c>
      <c r="U161" s="171">
        <f t="shared" si="5"/>
        <v>0.17935173964912293</v>
      </c>
    </row>
    <row r="162" spans="1:21" s="42" customFormat="1">
      <c r="A162" s="5">
        <v>233</v>
      </c>
      <c r="B162" s="28">
        <v>221.10599999999999</v>
      </c>
      <c r="C162" s="5" t="s">
        <v>133</v>
      </c>
      <c r="D162" s="5">
        <v>18</v>
      </c>
      <c r="E162" s="5">
        <v>1</v>
      </c>
      <c r="F162" s="24">
        <v>49.948</v>
      </c>
      <c r="G162" s="24">
        <v>-144.989</v>
      </c>
      <c r="H162" s="5">
        <v>6</v>
      </c>
      <c r="I162" s="25">
        <v>43328.797222222223</v>
      </c>
      <c r="J162" s="26">
        <v>43328.797222222223</v>
      </c>
      <c r="K162" s="7">
        <v>2.3413420199999999</v>
      </c>
      <c r="L162" s="7">
        <v>2.3772943059421232</v>
      </c>
      <c r="M162" s="7">
        <v>9.4057680200290358E-2</v>
      </c>
      <c r="N162" s="6">
        <v>1047.3206916059141</v>
      </c>
      <c r="O162" s="6">
        <v>196.32743446298949</v>
      </c>
      <c r="P162" s="67">
        <v>1.0065257999999999</v>
      </c>
      <c r="Q162" s="7">
        <v>7.5316097165878809E-2</v>
      </c>
      <c r="R162" s="67">
        <v>1.0541552969751957</v>
      </c>
      <c r="S162" s="7">
        <v>0.21277039537925299</v>
      </c>
      <c r="T162" s="171">
        <f t="shared" si="4"/>
        <v>0.74534981133639355</v>
      </c>
      <c r="U162" s="171">
        <f t="shared" si="5"/>
        <v>0.1787937710923522</v>
      </c>
    </row>
    <row r="163" spans="1:21" s="42" customFormat="1">
      <c r="A163" s="5">
        <v>234</v>
      </c>
      <c r="B163" s="28">
        <v>250.47499999999999</v>
      </c>
      <c r="C163" s="5" t="s">
        <v>133</v>
      </c>
      <c r="D163" s="5">
        <v>18</v>
      </c>
      <c r="E163" s="5">
        <v>1</v>
      </c>
      <c r="F163" s="24">
        <v>49.948</v>
      </c>
      <c r="G163" s="24">
        <v>-144.989</v>
      </c>
      <c r="H163" s="5">
        <v>5</v>
      </c>
      <c r="I163" s="25">
        <v>43328.797222222223</v>
      </c>
      <c r="J163" s="26">
        <v>43328.797222222223</v>
      </c>
      <c r="K163" s="7">
        <v>2.34583794</v>
      </c>
      <c r="L163" s="7">
        <v>2.3739453332493201</v>
      </c>
      <c r="M163" s="7">
        <v>9.7581162020493384E-2</v>
      </c>
      <c r="N163" s="6">
        <v>1025.3912674153312</v>
      </c>
      <c r="O163" s="6">
        <v>210.57228502280745</v>
      </c>
      <c r="P163" s="67">
        <v>0.9859675</v>
      </c>
      <c r="Q163" s="7">
        <v>9.6393087988312504E-2</v>
      </c>
      <c r="R163" s="67">
        <v>1.0110024644553255</v>
      </c>
      <c r="S163" s="7">
        <v>0.22994448737511344</v>
      </c>
      <c r="T163" s="171">
        <f t="shared" si="4"/>
        <v>0.71483822004656383</v>
      </c>
      <c r="U163" s="171">
        <f t="shared" si="5"/>
        <v>0.18713552953293339</v>
      </c>
    </row>
    <row r="164" spans="1:21" s="42" customFormat="1">
      <c r="A164" s="5">
        <v>235</v>
      </c>
      <c r="B164" s="28">
        <v>275.36200000000002</v>
      </c>
      <c r="C164" s="5" t="s">
        <v>133</v>
      </c>
      <c r="D164" s="5">
        <v>18</v>
      </c>
      <c r="E164" s="5">
        <v>1</v>
      </c>
      <c r="F164" s="24">
        <v>49.948</v>
      </c>
      <c r="G164" s="24">
        <v>-144.989</v>
      </c>
      <c r="H164" s="5">
        <v>4</v>
      </c>
      <c r="I164" s="25">
        <v>43328.797222222223</v>
      </c>
      <c r="J164" s="26">
        <v>43328.797222222223</v>
      </c>
      <c r="K164" s="7">
        <v>2.3476771800000003</v>
      </c>
      <c r="L164" s="7">
        <v>2.4819296928589667</v>
      </c>
      <c r="M164" s="7">
        <v>9.3953056051332404E-2</v>
      </c>
      <c r="N164" s="6">
        <v>929.03746027187628</v>
      </c>
      <c r="O164" s="6">
        <v>221.10535999433813</v>
      </c>
      <c r="P164" s="67">
        <v>0.96854660000000004</v>
      </c>
      <c r="Q164" s="7">
        <v>0.11351532935724523</v>
      </c>
      <c r="R164" s="67">
        <v>0.89981607341896086</v>
      </c>
      <c r="S164" s="7">
        <v>0.23870985412154802</v>
      </c>
      <c r="T164" s="171">
        <f t="shared" si="4"/>
        <v>0.63622290044429575</v>
      </c>
      <c r="U164" s="171">
        <f t="shared" si="5"/>
        <v>0.18785289706998612</v>
      </c>
    </row>
    <row r="165" spans="1:21" s="42" customFormat="1">
      <c r="A165" s="5">
        <v>236</v>
      </c>
      <c r="B165" s="28">
        <v>300.38499999999999</v>
      </c>
      <c r="C165" s="5" t="s">
        <v>133</v>
      </c>
      <c r="D165" s="5">
        <v>18</v>
      </c>
      <c r="E165" s="5">
        <v>1</v>
      </c>
      <c r="F165" s="24">
        <v>49.948</v>
      </c>
      <c r="G165" s="24">
        <v>-144.989</v>
      </c>
      <c r="H165" s="5">
        <v>3</v>
      </c>
      <c r="I165" s="25">
        <v>43328.797222222223</v>
      </c>
      <c r="J165" s="26">
        <v>43328.797222222223</v>
      </c>
      <c r="K165" s="7">
        <v>2.35007448</v>
      </c>
      <c r="L165" s="7">
        <v>2.5882389542579105</v>
      </c>
      <c r="M165" s="7">
        <v>9.9051542997982328E-2</v>
      </c>
      <c r="N165" s="6">
        <v>745.41310789481804</v>
      </c>
      <c r="O165" s="6">
        <v>233.92249906060076</v>
      </c>
      <c r="P165" s="67">
        <v>0.9510305</v>
      </c>
      <c r="Q165" s="7">
        <v>0.13004836614789247</v>
      </c>
      <c r="R165" s="67">
        <v>0.70891060070776279</v>
      </c>
      <c r="S165" s="7">
        <v>0.24267071189104217</v>
      </c>
      <c r="T165" s="171">
        <f t="shared" si="4"/>
        <v>0.50124150019267355</v>
      </c>
      <c r="U165" s="171">
        <f t="shared" si="5"/>
        <v>0.1834723353608291</v>
      </c>
    </row>
    <row r="166" spans="1:21" s="42" customFormat="1">
      <c r="A166" s="5">
        <v>237</v>
      </c>
      <c r="B166" s="28">
        <v>328.97800000000001</v>
      </c>
      <c r="C166" s="5" t="s">
        <v>133</v>
      </c>
      <c r="D166" s="5">
        <v>18</v>
      </c>
      <c r="E166" s="5">
        <v>1</v>
      </c>
      <c r="F166" s="24">
        <v>49.948</v>
      </c>
      <c r="G166" s="24">
        <v>-144.989</v>
      </c>
      <c r="H166" s="5">
        <v>2</v>
      </c>
      <c r="I166" s="25">
        <v>43328.797222222223</v>
      </c>
      <c r="J166" s="26">
        <v>43328.797222222223</v>
      </c>
      <c r="K166" s="7">
        <v>2.3527311600000003</v>
      </c>
      <c r="L166" s="7">
        <v>2.4867537163118172</v>
      </c>
      <c r="M166" s="7">
        <v>0.10563821239140414</v>
      </c>
      <c r="N166" s="6">
        <v>362.36172792558028</v>
      </c>
      <c r="O166" s="6">
        <v>381.94096926627611</v>
      </c>
      <c r="P166" s="67">
        <v>0.93978100734870584</v>
      </c>
      <c r="Q166" s="7">
        <v>0.1503684181233878</v>
      </c>
      <c r="R166" s="67">
        <v>0.34054066969451952</v>
      </c>
      <c r="S166" s="7">
        <v>0.36305297588216495</v>
      </c>
      <c r="T166" s="171">
        <f t="shared" si="4"/>
        <v>0.24078228761691803</v>
      </c>
      <c r="U166" s="171">
        <f t="shared" si="5"/>
        <v>0.25859030759961826</v>
      </c>
    </row>
    <row r="167" spans="1:21" s="42" customFormat="1">
      <c r="A167" s="5">
        <v>238</v>
      </c>
      <c r="B167" s="28">
        <v>499.140999999999</v>
      </c>
      <c r="C167" s="5" t="s">
        <v>133</v>
      </c>
      <c r="D167" s="5">
        <v>18</v>
      </c>
      <c r="E167" s="5">
        <v>1</v>
      </c>
      <c r="F167" s="24">
        <v>49.948</v>
      </c>
      <c r="G167" s="24">
        <v>-144.989</v>
      </c>
      <c r="H167" s="5">
        <v>1</v>
      </c>
      <c r="I167" s="25">
        <v>43328.797222222223</v>
      </c>
      <c r="J167" s="26">
        <v>43328.797222222223</v>
      </c>
      <c r="K167" s="7">
        <v>2.3640181200000003</v>
      </c>
      <c r="L167" s="7">
        <v>2.3880863222246114</v>
      </c>
      <c r="M167" s="7">
        <v>0.10195671654664022</v>
      </c>
      <c r="N167" s="6">
        <v>303.46818634537379</v>
      </c>
      <c r="O167" s="6">
        <v>456.20210082072481</v>
      </c>
      <c r="P167" s="68">
        <v>0.87680272990205399</v>
      </c>
      <c r="Q167" s="7">
        <v>0.15828163628098546</v>
      </c>
      <c r="R167" s="67">
        <v>0.26608173422604897</v>
      </c>
      <c r="S167" s="7">
        <v>0.40287294445423494</v>
      </c>
      <c r="T167" s="171">
        <f t="shared" si="4"/>
        <v>0.18813543979195371</v>
      </c>
      <c r="U167" s="171">
        <f t="shared" si="5"/>
        <v>0.28589688381952622</v>
      </c>
    </row>
    <row r="168" spans="1:21" s="42" customFormat="1">
      <c r="A168" s="5">
        <v>239</v>
      </c>
      <c r="B168" s="28">
        <v>5.39</v>
      </c>
      <c r="C168" s="5" t="s">
        <v>134</v>
      </c>
      <c r="D168" s="5">
        <v>21</v>
      </c>
      <c r="E168" s="5">
        <v>1</v>
      </c>
      <c r="F168" s="24">
        <v>49.982999999999997</v>
      </c>
      <c r="G168" s="24">
        <v>-145.08600000000001</v>
      </c>
      <c r="H168" s="5">
        <v>17</v>
      </c>
      <c r="I168" s="25">
        <v>43329.184027777781</v>
      </c>
      <c r="J168" s="26">
        <v>43329.184027777781</v>
      </c>
      <c r="K168" s="7">
        <v>2.2243459200000002</v>
      </c>
      <c r="L168" s="7">
        <v>1.4987411929010928</v>
      </c>
      <c r="M168" s="7">
        <v>6.4345727222789334E-2</v>
      </c>
      <c r="N168" s="6">
        <v>268.7744541376</v>
      </c>
      <c r="O168" s="6">
        <v>23.834585228707724</v>
      </c>
      <c r="P168" s="7">
        <v>5.3045246601367619</v>
      </c>
      <c r="Q168" s="7">
        <v>1.8998610814664527</v>
      </c>
      <c r="R168" s="67">
        <v>1.4257207199876964</v>
      </c>
      <c r="S168" s="7">
        <v>0.52605327123687384</v>
      </c>
      <c r="T168" s="171">
        <f t="shared" si="4"/>
        <v>1.0080684247476879</v>
      </c>
      <c r="U168" s="171">
        <f t="shared" si="5"/>
        <v>0.39423617646780851</v>
      </c>
    </row>
    <row r="169" spans="1:21" s="42" customFormat="1">
      <c r="A169" s="5">
        <v>240</v>
      </c>
      <c r="B169" s="28">
        <v>20.369</v>
      </c>
      <c r="C169" s="5" t="s">
        <v>134</v>
      </c>
      <c r="D169" s="5">
        <v>21</v>
      </c>
      <c r="E169" s="5">
        <v>1</v>
      </c>
      <c r="F169" s="24">
        <v>49.982999999999997</v>
      </c>
      <c r="G169" s="24">
        <v>-145.08600000000001</v>
      </c>
      <c r="H169" s="5">
        <v>16</v>
      </c>
      <c r="I169" s="25">
        <v>43329.184027777781</v>
      </c>
      <c r="J169" s="26">
        <v>43329.184027777781</v>
      </c>
      <c r="K169" s="7">
        <v>2.2243066200000001</v>
      </c>
      <c r="L169" s="7">
        <v>1.4500171711328136</v>
      </c>
      <c r="M169" s="7">
        <v>6.768494521533823E-2</v>
      </c>
      <c r="N169" s="6">
        <v>769.71694795908411</v>
      </c>
      <c r="O169" s="6">
        <v>49.856456849108511</v>
      </c>
      <c r="P169" s="7">
        <v>5.3045246601367619</v>
      </c>
      <c r="Q169" s="7">
        <v>1.8998610814664527</v>
      </c>
      <c r="R169" s="67">
        <v>4.0829825317741664</v>
      </c>
      <c r="S169" s="7">
        <v>1.4860769084962795</v>
      </c>
      <c r="T169" s="171">
        <f t="shared" si="4"/>
        <v>2.8869088534488228</v>
      </c>
      <c r="U169" s="171">
        <f t="shared" si="5"/>
        <v>1.1153923370450189</v>
      </c>
    </row>
    <row r="170" spans="1:21" s="42" customFormat="1">
      <c r="A170" s="5">
        <v>242</v>
      </c>
      <c r="B170" s="28">
        <v>50.381</v>
      </c>
      <c r="C170" s="5" t="s">
        <v>134</v>
      </c>
      <c r="D170" s="5">
        <v>21</v>
      </c>
      <c r="E170" s="5">
        <v>1</v>
      </c>
      <c r="F170" s="24">
        <v>49.982999999999997</v>
      </c>
      <c r="G170" s="24">
        <v>-145.08600000000001</v>
      </c>
      <c r="H170" s="5">
        <v>14</v>
      </c>
      <c r="I170" s="25">
        <v>43329.184027777781</v>
      </c>
      <c r="J170" s="26">
        <v>43329.184027777781</v>
      </c>
      <c r="K170" s="7">
        <v>2.2429269600000001</v>
      </c>
      <c r="L170" s="7">
        <v>1.9790074964002955</v>
      </c>
      <c r="M170" s="7">
        <v>9.0387800431062593E-2</v>
      </c>
      <c r="N170" s="6">
        <v>941.16718134648829</v>
      </c>
      <c r="O170" s="6">
        <v>77.029557724536488</v>
      </c>
      <c r="P170" s="7">
        <v>5.3045246601367619</v>
      </c>
      <c r="Q170" s="7">
        <v>1.8998610814664527</v>
      </c>
      <c r="R170" s="67">
        <v>4.9924445227638552</v>
      </c>
      <c r="S170" s="7">
        <v>1.8341790966068368</v>
      </c>
      <c r="T170" s="171">
        <f t="shared" si="4"/>
        <v>3.5299519850887857</v>
      </c>
      <c r="U170" s="171">
        <f t="shared" si="5"/>
        <v>1.3752269071127199</v>
      </c>
    </row>
    <row r="171" spans="1:21" s="42" customFormat="1">
      <c r="A171" s="5">
        <v>243</v>
      </c>
      <c r="B171" s="28">
        <v>65.545000000000002</v>
      </c>
      <c r="C171" s="5" t="s">
        <v>134</v>
      </c>
      <c r="D171" s="5">
        <v>21</v>
      </c>
      <c r="E171" s="5">
        <v>1</v>
      </c>
      <c r="F171" s="24">
        <v>49.982999999999997</v>
      </c>
      <c r="G171" s="24">
        <v>-145.08600000000001</v>
      </c>
      <c r="H171" s="5">
        <v>13</v>
      </c>
      <c r="I171" s="25">
        <v>43329.184027777781</v>
      </c>
      <c r="J171" s="26">
        <v>43329.184027777781</v>
      </c>
      <c r="K171" s="7">
        <v>2.2443181800000005</v>
      </c>
      <c r="L171" s="7">
        <v>2.0430172610083757</v>
      </c>
      <c r="M171" s="7">
        <v>8.2826429566883741E-2</v>
      </c>
      <c r="N171" s="6">
        <v>1025.6405272975239</v>
      </c>
      <c r="O171" s="6">
        <v>84.508018119089428</v>
      </c>
      <c r="P171" s="67">
        <v>4.1582334999999988</v>
      </c>
      <c r="Q171" s="7">
        <v>1.236677749982932</v>
      </c>
      <c r="R171" s="67">
        <v>4.2648527995662269</v>
      </c>
      <c r="S171" s="7">
        <v>1.3161648627355547</v>
      </c>
      <c r="T171" s="171">
        <f t="shared" si="4"/>
        <v>3.0155018322779195</v>
      </c>
      <c r="U171" s="171">
        <f t="shared" si="5"/>
        <v>1.0093653486056655</v>
      </c>
    </row>
    <row r="172" spans="1:21" s="42" customFormat="1">
      <c r="A172" s="5">
        <v>244</v>
      </c>
      <c r="B172" s="28">
        <v>79.563000000000002</v>
      </c>
      <c r="C172" s="5" t="s">
        <v>134</v>
      </c>
      <c r="D172" s="5">
        <v>21</v>
      </c>
      <c r="E172" s="5">
        <v>1</v>
      </c>
      <c r="F172" s="24">
        <v>49.982999999999997</v>
      </c>
      <c r="G172" s="24">
        <v>-145.08600000000001</v>
      </c>
      <c r="H172" s="5">
        <v>12</v>
      </c>
      <c r="I172" s="25">
        <v>43329.184027777781</v>
      </c>
      <c r="J172" s="26">
        <v>43329.184027777781</v>
      </c>
      <c r="K172" s="7">
        <v>2.2494979200000005</v>
      </c>
      <c r="L172" s="7">
        <v>2.167853385796894</v>
      </c>
      <c r="M172" s="7">
        <v>9.3405672345231519E-2</v>
      </c>
      <c r="N172" s="6">
        <v>1060.3066544586736</v>
      </c>
      <c r="O172" s="6">
        <v>93.351548889856588</v>
      </c>
      <c r="P172" s="67">
        <v>3.1251068999999987</v>
      </c>
      <c r="Q172" s="7">
        <v>0.75817666294510733</v>
      </c>
      <c r="R172" s="67">
        <v>3.3135716419647152</v>
      </c>
      <c r="S172" s="7">
        <v>0.85519781413789997</v>
      </c>
      <c r="T172" s="171">
        <f t="shared" si="4"/>
        <v>2.3428900896052109</v>
      </c>
      <c r="U172" s="171">
        <f t="shared" si="5"/>
        <v>0.6766566068523221</v>
      </c>
    </row>
    <row r="173" spans="1:21" s="42" customFormat="1">
      <c r="A173" s="5">
        <v>245</v>
      </c>
      <c r="B173" s="28">
        <v>95.072000000000003</v>
      </c>
      <c r="C173" s="5" t="s">
        <v>134</v>
      </c>
      <c r="D173" s="5">
        <v>21</v>
      </c>
      <c r="E173" s="5">
        <v>1</v>
      </c>
      <c r="F173" s="24">
        <v>49.982999999999997</v>
      </c>
      <c r="G173" s="24">
        <v>-145.08600000000001</v>
      </c>
      <c r="H173" s="5">
        <v>11</v>
      </c>
      <c r="I173" s="25">
        <v>43329.184027777781</v>
      </c>
      <c r="J173" s="26">
        <v>43329.184027777781</v>
      </c>
      <c r="K173" s="7">
        <v>2.2605726599999998</v>
      </c>
      <c r="L173" s="7">
        <v>2.207743663587407</v>
      </c>
      <c r="M173" s="7">
        <v>0.1058437777377384</v>
      </c>
      <c r="N173" s="6">
        <v>1083.3827235551896</v>
      </c>
      <c r="O173" s="6">
        <v>104.17307144384478</v>
      </c>
      <c r="P173" s="67">
        <v>1.9820935999999989</v>
      </c>
      <c r="Q173" s="7">
        <v>0.36070843372446704</v>
      </c>
      <c r="R173" s="67">
        <v>2.1473659627093094</v>
      </c>
      <c r="S173" s="7">
        <v>0.4419812790187686</v>
      </c>
      <c r="T173" s="171">
        <f t="shared" si="4"/>
        <v>1.5183140660282026</v>
      </c>
      <c r="U173" s="171">
        <f t="shared" si="5"/>
        <v>0.36931734029490909</v>
      </c>
    </row>
    <row r="174" spans="1:21" s="42" customFormat="1">
      <c r="A174" s="5">
        <v>246</v>
      </c>
      <c r="B174" s="28">
        <v>109.93899999999999</v>
      </c>
      <c r="C174" s="5" t="s">
        <v>134</v>
      </c>
      <c r="D174" s="5">
        <v>21</v>
      </c>
      <c r="E174" s="5">
        <v>1</v>
      </c>
      <c r="F174" s="24">
        <v>49.982999999999997</v>
      </c>
      <c r="G174" s="24">
        <v>-145.08600000000001</v>
      </c>
      <c r="H174" s="6">
        <v>10</v>
      </c>
      <c r="I174" s="25">
        <v>43329.184027777781</v>
      </c>
      <c r="J174" s="26">
        <v>43329.184027777781</v>
      </c>
      <c r="K174" s="7">
        <v>2.2755381000000003</v>
      </c>
      <c r="L174" s="7">
        <v>2.3028975748856593</v>
      </c>
      <c r="M174" s="7">
        <v>0.10820707575408851</v>
      </c>
      <c r="N174" s="6">
        <v>1071.4669318950946</v>
      </c>
      <c r="O174" s="6">
        <v>114.33719110980283</v>
      </c>
      <c r="P174" s="67">
        <v>1.5161161000000001</v>
      </c>
      <c r="Q174" s="7">
        <v>0.27523614585485634</v>
      </c>
      <c r="R174" s="67">
        <v>1.6244682660637566</v>
      </c>
      <c r="S174" s="7">
        <v>0.34208111465977714</v>
      </c>
      <c r="T174" s="171">
        <f t="shared" si="4"/>
        <v>1.1485946322205591</v>
      </c>
      <c r="U174" s="171">
        <f t="shared" si="5"/>
        <v>0.28402299492496752</v>
      </c>
    </row>
    <row r="175" spans="1:21" s="42" customFormat="1">
      <c r="A175" s="5">
        <v>247</v>
      </c>
      <c r="B175" s="28">
        <v>125.35899999999999</v>
      </c>
      <c r="C175" s="5" t="s">
        <v>134</v>
      </c>
      <c r="D175" s="5">
        <v>21</v>
      </c>
      <c r="E175" s="5">
        <v>1</v>
      </c>
      <c r="F175" s="24">
        <v>49.982999999999997</v>
      </c>
      <c r="G175" s="24">
        <v>-145.08600000000001</v>
      </c>
      <c r="H175" s="5">
        <v>9</v>
      </c>
      <c r="I175" s="25">
        <v>43329.184027777781</v>
      </c>
      <c r="J175" s="26">
        <v>43329.184027777781</v>
      </c>
      <c r="K175" s="7">
        <v>2.2976011199999999</v>
      </c>
      <c r="L175" s="7">
        <v>2.478720795532408</v>
      </c>
      <c r="M175" s="7">
        <v>0.1048573354806699</v>
      </c>
      <c r="N175" s="6">
        <v>979.5879524408723</v>
      </c>
      <c r="O175" s="6">
        <v>126.10480403653406</v>
      </c>
      <c r="P175" s="67">
        <v>1.3603741000000003</v>
      </c>
      <c r="Q175" s="7">
        <v>0.28675600857580436</v>
      </c>
      <c r="R175" s="67">
        <v>1.3326060791725947</v>
      </c>
      <c r="S175" s="7">
        <v>0.32914380930912923</v>
      </c>
      <c r="T175" s="171">
        <f t="shared" si="4"/>
        <v>0.94223089572009799</v>
      </c>
      <c r="U175" s="171">
        <f t="shared" si="5"/>
        <v>0.26282669576716483</v>
      </c>
    </row>
    <row r="176" spans="1:21" s="42" customFormat="1">
      <c r="A176" s="5">
        <v>248</v>
      </c>
      <c r="B176" s="28">
        <v>145.21600000000001</v>
      </c>
      <c r="C176" s="5" t="s">
        <v>134</v>
      </c>
      <c r="D176" s="5">
        <v>21</v>
      </c>
      <c r="E176" s="5">
        <v>1</v>
      </c>
      <c r="F176" s="24">
        <v>49.982999999999997</v>
      </c>
      <c r="G176" s="24">
        <v>-145.08600000000001</v>
      </c>
      <c r="H176" s="5">
        <v>8</v>
      </c>
      <c r="I176" s="25">
        <v>43329.184027777781</v>
      </c>
      <c r="J176" s="26">
        <v>43329.184027777781</v>
      </c>
      <c r="K176" s="7">
        <v>2.3201829000000003</v>
      </c>
      <c r="L176" s="7">
        <v>2.2186256010523628</v>
      </c>
      <c r="M176" s="7">
        <v>8.8790881785173026E-2</v>
      </c>
      <c r="N176" s="6">
        <v>1081.3409015249322</v>
      </c>
      <c r="O176" s="6">
        <v>154.32643296085951</v>
      </c>
      <c r="P176" s="67">
        <v>1.1598184</v>
      </c>
      <c r="Q176" s="7">
        <v>0.28816935184743681</v>
      </c>
      <c r="R176" s="67">
        <v>1.2541590742612045</v>
      </c>
      <c r="S176" s="7">
        <v>0.35935777159783588</v>
      </c>
      <c r="T176" s="171">
        <f t="shared" si="4"/>
        <v>0.88676424817927968</v>
      </c>
      <c r="U176" s="171">
        <f t="shared" si="5"/>
        <v>0.27887818250033253</v>
      </c>
    </row>
    <row r="177" spans="1:23" s="42" customFormat="1">
      <c r="A177" s="5">
        <v>249</v>
      </c>
      <c r="B177" s="28">
        <v>195.03399999999999</v>
      </c>
      <c r="C177" s="5" t="s">
        <v>134</v>
      </c>
      <c r="D177" s="5">
        <v>21</v>
      </c>
      <c r="E177" s="5">
        <v>1</v>
      </c>
      <c r="F177" s="24">
        <v>49.982999999999997</v>
      </c>
      <c r="G177" s="24">
        <v>-145.08600000000001</v>
      </c>
      <c r="H177" s="5">
        <v>7</v>
      </c>
      <c r="I177" s="25">
        <v>43329.184027777781</v>
      </c>
      <c r="J177" s="26">
        <v>43329.184027777781</v>
      </c>
      <c r="K177" s="7">
        <v>2.3373491400000002</v>
      </c>
      <c r="L177" s="7">
        <v>2.3154300268538126</v>
      </c>
      <c r="M177" s="7">
        <v>9.1625876500488035E-2</v>
      </c>
      <c r="N177" s="6">
        <v>1130.363151948555</v>
      </c>
      <c r="O177" s="6">
        <v>256.53389555846297</v>
      </c>
      <c r="P177" s="67">
        <v>1.0356388000000001</v>
      </c>
      <c r="Q177" s="7">
        <v>8.108493801814573E-2</v>
      </c>
      <c r="R177" s="67">
        <v>1.1706479382482193</v>
      </c>
      <c r="S177" s="7">
        <v>0.28104216103441126</v>
      </c>
      <c r="T177" s="171">
        <f t="shared" si="4"/>
        <v>0.82771696202478906</v>
      </c>
      <c r="U177" s="171">
        <f t="shared" si="5"/>
        <v>0.22582904961305394</v>
      </c>
    </row>
    <row r="178" spans="1:23" s="42" customFormat="1">
      <c r="A178" s="5">
        <v>241</v>
      </c>
      <c r="B178" s="28">
        <v>300.745</v>
      </c>
      <c r="C178" s="5" t="s">
        <v>134</v>
      </c>
      <c r="D178" s="5">
        <v>21</v>
      </c>
      <c r="E178" s="5">
        <v>1</v>
      </c>
      <c r="F178" s="24">
        <v>49.982999999999997</v>
      </c>
      <c r="G178" s="24">
        <v>-145.08600000000001</v>
      </c>
      <c r="H178" s="5">
        <v>3</v>
      </c>
      <c r="I178" s="25">
        <v>43329.184027777781</v>
      </c>
      <c r="J178" s="26">
        <v>43329.184027777781</v>
      </c>
      <c r="K178" s="7">
        <v>2.3493277800000003</v>
      </c>
      <c r="L178" s="7">
        <v>2.3342692886111047</v>
      </c>
      <c r="M178" s="7">
        <v>9.371062824574436E-2</v>
      </c>
      <c r="N178" s="6">
        <v>1159.9173317422717</v>
      </c>
      <c r="O178" s="6">
        <v>315.65137601829895</v>
      </c>
      <c r="P178" s="67">
        <v>0.95077849999999997</v>
      </c>
      <c r="Q178" s="7">
        <v>0.13028122737033251</v>
      </c>
      <c r="R178" s="67">
        <v>1.1028244607979196</v>
      </c>
      <c r="S178" s="7">
        <v>0.33601282495321816</v>
      </c>
      <c r="T178" s="171">
        <f t="shared" si="4"/>
        <v>0.77976177338530295</v>
      </c>
      <c r="U178" s="171">
        <f t="shared" si="5"/>
        <v>0.2581882145569328</v>
      </c>
    </row>
    <row r="179" spans="1:23" s="42" customFormat="1">
      <c r="A179" s="5">
        <v>250</v>
      </c>
      <c r="B179" s="28">
        <v>331.517</v>
      </c>
      <c r="C179" s="5" t="s">
        <v>134</v>
      </c>
      <c r="D179" s="5">
        <v>21</v>
      </c>
      <c r="E179" s="5">
        <v>1</v>
      </c>
      <c r="F179" s="24">
        <v>49.982999999999997</v>
      </c>
      <c r="G179" s="24">
        <v>-145.08600000000001</v>
      </c>
      <c r="H179" s="5">
        <v>2</v>
      </c>
      <c r="I179" s="25">
        <v>43329.184027777781</v>
      </c>
      <c r="J179" s="26">
        <v>43329.184027777781</v>
      </c>
      <c r="K179" s="7">
        <v>2.3531949000000001</v>
      </c>
      <c r="L179" s="7">
        <v>2.3956756837772009</v>
      </c>
      <c r="M179" s="7">
        <v>9.0535419536941705E-2</v>
      </c>
      <c r="N179" s="6">
        <v>1038.8678269005018</v>
      </c>
      <c r="O179" s="6">
        <v>407.66454814149046</v>
      </c>
      <c r="P179" s="67">
        <v>0.92939320000000003</v>
      </c>
      <c r="Q179" s="7">
        <v>0.14897574187961241</v>
      </c>
      <c r="R179" s="67">
        <v>0.96551669402010354</v>
      </c>
      <c r="S179" s="7">
        <v>0.40927142709180214</v>
      </c>
      <c r="T179" s="171">
        <f t="shared" si="4"/>
        <v>0.68267710440291596</v>
      </c>
      <c r="U179" s="171">
        <f t="shared" si="5"/>
        <v>0.30260707745351678</v>
      </c>
    </row>
    <row r="180" spans="1:23" s="42" customFormat="1">
      <c r="A180" s="5">
        <v>251</v>
      </c>
      <c r="B180" s="28">
        <v>498.90300000000002</v>
      </c>
      <c r="C180" s="5" t="s">
        <v>134</v>
      </c>
      <c r="D180" s="5">
        <v>21</v>
      </c>
      <c r="E180" s="5">
        <v>1</v>
      </c>
      <c r="F180" s="24">
        <v>49.982999999999997</v>
      </c>
      <c r="G180" s="24">
        <v>-145.08600000000001</v>
      </c>
      <c r="H180" s="5">
        <v>1</v>
      </c>
      <c r="I180" s="25">
        <v>43329.184027777781</v>
      </c>
      <c r="J180" s="26">
        <v>43329.184027777781</v>
      </c>
      <c r="K180" s="7">
        <v>2.3641831800000004</v>
      </c>
      <c r="L180" s="7">
        <v>2.5861403792380679</v>
      </c>
      <c r="M180" s="7">
        <v>9.7058275981722772E-2</v>
      </c>
      <c r="N180" s="6">
        <v>504.6144778315853</v>
      </c>
      <c r="O180" s="6">
        <v>469.86043842147723</v>
      </c>
      <c r="P180" s="68">
        <v>0.87680272990205399</v>
      </c>
      <c r="Q180" s="7">
        <v>0.15828163628098546</v>
      </c>
      <c r="R180" s="67">
        <v>0.44244735171083349</v>
      </c>
      <c r="S180" s="7">
        <v>0.4196459699351206</v>
      </c>
      <c r="T180" s="171">
        <f t="shared" si="4"/>
        <v>0.31283630701304194</v>
      </c>
      <c r="U180" s="171">
        <f t="shared" si="5"/>
        <v>0.29947261624948074</v>
      </c>
    </row>
    <row r="181" spans="1:23" s="42" customFormat="1">
      <c r="A181" s="5">
        <v>319</v>
      </c>
      <c r="B181" s="28">
        <v>4.6580000000000004</v>
      </c>
      <c r="C181" s="5" t="s">
        <v>135</v>
      </c>
      <c r="D181" s="5">
        <v>22</v>
      </c>
      <c r="E181" s="5">
        <v>1</v>
      </c>
      <c r="F181" s="24">
        <v>50.045999999999999</v>
      </c>
      <c r="G181" s="24">
        <v>-145.03</v>
      </c>
      <c r="H181" s="5">
        <v>23</v>
      </c>
      <c r="I181" s="25">
        <v>43329.259722222225</v>
      </c>
      <c r="J181" s="26">
        <v>43329.259722222225</v>
      </c>
      <c r="K181" s="7">
        <v>2.2249197000000005</v>
      </c>
      <c r="L181" s="7">
        <v>1.3426123742907627</v>
      </c>
      <c r="M181" s="7">
        <v>6.0716924263174092E-2</v>
      </c>
      <c r="N181" s="6">
        <v>253.52321044579023</v>
      </c>
      <c r="O181" s="6">
        <v>17.446471449412588</v>
      </c>
      <c r="P181" s="7">
        <v>5.3045246601367619</v>
      </c>
      <c r="Q181" s="7">
        <v>1.8998610814664527</v>
      </c>
      <c r="R181" s="67">
        <v>1.3448201217267362</v>
      </c>
      <c r="S181" s="7">
        <v>0.4904690596887164</v>
      </c>
      <c r="T181" s="171">
        <f t="shared" si="4"/>
        <v>0.95086694236285196</v>
      </c>
      <c r="U181" s="171">
        <f t="shared" si="5"/>
        <v>0.36804311750626872</v>
      </c>
      <c r="V181" s="43"/>
      <c r="W181" s="43"/>
    </row>
    <row r="182" spans="1:23" s="42" customFormat="1">
      <c r="A182" s="5">
        <v>318</v>
      </c>
      <c r="B182" s="28">
        <v>15.324</v>
      </c>
      <c r="C182" s="5" t="s">
        <v>135</v>
      </c>
      <c r="D182" s="5">
        <v>22</v>
      </c>
      <c r="E182" s="5">
        <v>1</v>
      </c>
      <c r="F182" s="24">
        <v>50.045999999999999</v>
      </c>
      <c r="G182" s="24">
        <v>-145.03</v>
      </c>
      <c r="H182" s="5">
        <v>21</v>
      </c>
      <c r="I182" s="25">
        <v>43329.259722222225</v>
      </c>
      <c r="J182" s="26">
        <v>43329.259722222225</v>
      </c>
      <c r="K182" s="7">
        <v>2.2249747200000001</v>
      </c>
      <c r="L182" s="7">
        <v>1.3283044315907415</v>
      </c>
      <c r="M182" s="7">
        <v>5.9033562503578663E-2</v>
      </c>
      <c r="N182" s="6">
        <v>507.09894973068646</v>
      </c>
      <c r="O182" s="6">
        <v>24.1471806625323</v>
      </c>
      <c r="P182" s="7">
        <v>5.3045246601367619</v>
      </c>
      <c r="Q182" s="7">
        <v>1.8998610814664527</v>
      </c>
      <c r="R182" s="67">
        <v>2.6899188839758787</v>
      </c>
      <c r="S182" s="7">
        <v>0.97189519279146219</v>
      </c>
      <c r="T182" s="171">
        <f t="shared" si="4"/>
        <v>1.9019308999675779</v>
      </c>
      <c r="U182" s="171">
        <f t="shared" si="5"/>
        <v>0.73007333214261982</v>
      </c>
    </row>
    <row r="183" spans="1:23" s="42" customFormat="1">
      <c r="A183" s="5">
        <v>317</v>
      </c>
      <c r="B183" s="28">
        <v>24.324000000000002</v>
      </c>
      <c r="C183" s="5" t="s">
        <v>135</v>
      </c>
      <c r="D183" s="5">
        <v>22</v>
      </c>
      <c r="E183" s="5">
        <v>1</v>
      </c>
      <c r="F183" s="24">
        <v>50.045999999999999</v>
      </c>
      <c r="G183" s="24">
        <v>-145.03</v>
      </c>
      <c r="H183" s="5">
        <v>19</v>
      </c>
      <c r="I183" s="25">
        <v>43329.259722222225</v>
      </c>
      <c r="J183" s="26">
        <v>43329.259722222225</v>
      </c>
      <c r="K183" s="7">
        <v>2.2249354200000004</v>
      </c>
      <c r="L183" s="7">
        <v>1.364233522142607</v>
      </c>
      <c r="M183" s="7">
        <v>6.1328659439927435E-2</v>
      </c>
      <c r="N183" s="6">
        <v>938.84211840724333</v>
      </c>
      <c r="O183" s="6">
        <v>39.108582060072031</v>
      </c>
      <c r="P183" s="7">
        <v>5.3045246601367619</v>
      </c>
      <c r="Q183" s="7">
        <v>1.8998610814664527</v>
      </c>
      <c r="R183" s="67">
        <v>4.9801111690662605</v>
      </c>
      <c r="S183" s="7">
        <v>1.7956931153607121</v>
      </c>
      <c r="T183" s="171">
        <f t="shared" si="4"/>
        <v>3.5212315784484884</v>
      </c>
      <c r="U183" s="171">
        <f t="shared" si="5"/>
        <v>1.3492130075064557</v>
      </c>
    </row>
    <row r="184" spans="1:23" s="42" customFormat="1">
      <c r="A184" s="5">
        <v>316</v>
      </c>
      <c r="B184" s="28">
        <v>50.207000000000001</v>
      </c>
      <c r="C184" s="5" t="s">
        <v>135</v>
      </c>
      <c r="D184" s="5">
        <v>22</v>
      </c>
      <c r="E184" s="5">
        <v>1</v>
      </c>
      <c r="F184" s="24">
        <v>50.045999999999999</v>
      </c>
      <c r="G184" s="24">
        <v>-145.03</v>
      </c>
      <c r="H184" s="5">
        <v>17</v>
      </c>
      <c r="I184" s="25">
        <v>43329.259722222225</v>
      </c>
      <c r="J184" s="26">
        <v>43329.259722222225</v>
      </c>
      <c r="K184" s="7">
        <v>2.2394842800000001</v>
      </c>
      <c r="L184" s="7">
        <v>1.4579192567823349</v>
      </c>
      <c r="M184" s="7">
        <v>7.6487851558533895E-2</v>
      </c>
      <c r="N184" s="6">
        <v>1514.4201619068276</v>
      </c>
      <c r="O184" s="6">
        <v>68.574269796013596</v>
      </c>
      <c r="P184" s="7">
        <v>5.3045246601367619</v>
      </c>
      <c r="Q184" s="7">
        <v>1.8998610814664527</v>
      </c>
      <c r="R184" s="67">
        <v>8.0332790946430759</v>
      </c>
      <c r="S184" s="7">
        <v>2.9000909069337775</v>
      </c>
      <c r="T184" s="171">
        <f t="shared" si="4"/>
        <v>5.6800009209133622</v>
      </c>
      <c r="U184" s="171">
        <f t="shared" si="5"/>
        <v>2.1787124526071522</v>
      </c>
    </row>
    <row r="185" spans="1:23" s="42" customFormat="1">
      <c r="A185" s="5">
        <v>315</v>
      </c>
      <c r="B185" s="28">
        <v>75.536999999999907</v>
      </c>
      <c r="C185" s="5" t="s">
        <v>135</v>
      </c>
      <c r="D185" s="5">
        <v>22</v>
      </c>
      <c r="E185" s="5">
        <v>1</v>
      </c>
      <c r="F185" s="24">
        <v>50.045999999999999</v>
      </c>
      <c r="G185" s="24">
        <v>-145.03</v>
      </c>
      <c r="H185" s="5">
        <v>15</v>
      </c>
      <c r="I185" s="25">
        <v>43329.259722222225</v>
      </c>
      <c r="J185" s="26">
        <v>43329.259722222225</v>
      </c>
      <c r="K185" s="7">
        <v>2.2461810000000004</v>
      </c>
      <c r="L185" s="7">
        <v>2.2861485359260891</v>
      </c>
      <c r="M185" s="7">
        <v>9.7338027091981069E-2</v>
      </c>
      <c r="N185" s="6">
        <v>1488.7083242318758</v>
      </c>
      <c r="O185" s="6">
        <v>92.863386526888746</v>
      </c>
      <c r="P185" s="67">
        <v>3.4218231000000063</v>
      </c>
      <c r="Q185" s="7">
        <v>0.88401385549013067</v>
      </c>
      <c r="R185" s="67">
        <v>5.0940965330189316</v>
      </c>
      <c r="S185" s="7">
        <v>1.3538577565288177</v>
      </c>
      <c r="T185" s="171">
        <f t="shared" si="4"/>
        <v>3.6018259365672738</v>
      </c>
      <c r="U185" s="171">
        <f t="shared" si="5"/>
        <v>1.0650467975280533</v>
      </c>
    </row>
    <row r="186" spans="1:23" s="42" customFormat="1">
      <c r="A186" s="5">
        <v>314</v>
      </c>
      <c r="B186" s="28">
        <v>94.944000000000003</v>
      </c>
      <c r="C186" s="5" t="s">
        <v>135</v>
      </c>
      <c r="D186" s="5">
        <v>22</v>
      </c>
      <c r="E186" s="5">
        <v>1</v>
      </c>
      <c r="F186" s="24">
        <v>50.045999999999999</v>
      </c>
      <c r="G186" s="24">
        <v>-145.03</v>
      </c>
      <c r="H186" s="5">
        <v>13</v>
      </c>
      <c r="I186" s="25">
        <v>43329.259722222225</v>
      </c>
      <c r="J186" s="26">
        <v>43329.259722222225</v>
      </c>
      <c r="K186" s="7">
        <v>2.2785956400000003</v>
      </c>
      <c r="L186" s="7">
        <v>2.2773154225736558</v>
      </c>
      <c r="M186" s="7">
        <v>8.5245114351170576E-2</v>
      </c>
      <c r="N186" s="6">
        <v>1489.3503012431515</v>
      </c>
      <c r="O186" s="6">
        <v>102.22969817037139</v>
      </c>
      <c r="P186" s="67">
        <v>1.9915271999999993</v>
      </c>
      <c r="Q186" s="7">
        <v>0.36342165837818863</v>
      </c>
      <c r="R186" s="67">
        <v>2.966081635253929</v>
      </c>
      <c r="S186" s="7">
        <v>0.57828619473199905</v>
      </c>
      <c r="T186" s="171">
        <f t="shared" si="4"/>
        <v>2.0971942118855349</v>
      </c>
      <c r="U186" s="171">
        <f t="shared" si="5"/>
        <v>0.49100578815867907</v>
      </c>
    </row>
    <row r="187" spans="1:23" s="42" customFormat="1">
      <c r="A187" s="5">
        <v>313</v>
      </c>
      <c r="B187" s="28">
        <v>110.408999999999</v>
      </c>
      <c r="C187" s="5" t="s">
        <v>135</v>
      </c>
      <c r="D187" s="5">
        <v>22</v>
      </c>
      <c r="E187" s="5">
        <v>1</v>
      </c>
      <c r="F187" s="24">
        <v>50.045999999999999</v>
      </c>
      <c r="G187" s="24">
        <v>-145.03</v>
      </c>
      <c r="H187" s="5">
        <v>11</v>
      </c>
      <c r="I187" s="25">
        <v>43329.259722222225</v>
      </c>
      <c r="J187" s="26">
        <v>43329.259722222225</v>
      </c>
      <c r="K187" s="7">
        <v>2.3008394400000003</v>
      </c>
      <c r="L187" s="7">
        <v>2.4491491394868494</v>
      </c>
      <c r="M187" s="7">
        <v>0.1021132541735809</v>
      </c>
      <c r="N187" s="6">
        <v>1425.4846623323701</v>
      </c>
      <c r="O187" s="6">
        <v>111.28557884984387</v>
      </c>
      <c r="P187" s="67">
        <v>1.5113691000000102</v>
      </c>
      <c r="Q187" s="7">
        <v>0.27572189570732331</v>
      </c>
      <c r="R187" s="67">
        <v>2.1544334711730926</v>
      </c>
      <c r="S187" s="7">
        <v>0.42751307293642249</v>
      </c>
      <c r="T187" s="171">
        <f t="shared" si="4"/>
        <v>1.5233112102964281</v>
      </c>
      <c r="U187" s="171">
        <f t="shared" si="5"/>
        <v>0.36105613184529251</v>
      </c>
    </row>
    <row r="188" spans="1:23" s="42" customFormat="1">
      <c r="A188" s="5">
        <v>312</v>
      </c>
      <c r="B188" s="28">
        <v>124.89</v>
      </c>
      <c r="C188" s="5" t="s">
        <v>135</v>
      </c>
      <c r="D188" s="5">
        <v>22</v>
      </c>
      <c r="E188" s="5">
        <v>1</v>
      </c>
      <c r="F188" s="24">
        <v>50.045999999999999</v>
      </c>
      <c r="G188" s="24">
        <v>-145.03</v>
      </c>
      <c r="H188" s="5">
        <v>9</v>
      </c>
      <c r="I188" s="25">
        <v>43329.259722222225</v>
      </c>
      <c r="J188" s="26">
        <v>43329.259722222225</v>
      </c>
      <c r="K188" s="7">
        <v>2.3163708000000001</v>
      </c>
      <c r="L188" s="7">
        <v>2.0622441170372472</v>
      </c>
      <c r="M188" s="7">
        <v>0.1028927067299908</v>
      </c>
      <c r="N188" s="6">
        <v>1570.9676597910593</v>
      </c>
      <c r="O188" s="6">
        <v>125.91342134259193</v>
      </c>
      <c r="P188" s="67">
        <v>1.3651110000000002</v>
      </c>
      <c r="Q188" s="7">
        <v>0.28653997960863004</v>
      </c>
      <c r="R188" s="67">
        <v>2.1445452330250334</v>
      </c>
      <c r="S188" s="7">
        <v>0.48184570680375</v>
      </c>
      <c r="T188" s="171">
        <f t="shared" si="4"/>
        <v>1.5163196441967715</v>
      </c>
      <c r="U188" s="171">
        <f t="shared" si="5"/>
        <v>0.39332559304938414</v>
      </c>
    </row>
    <row r="189" spans="1:23" s="42" customFormat="1">
      <c r="A189" s="5" t="s">
        <v>136</v>
      </c>
      <c r="B189" s="28">
        <v>150.22</v>
      </c>
      <c r="C189" s="5" t="s">
        <v>135</v>
      </c>
      <c r="D189" s="5">
        <v>22</v>
      </c>
      <c r="E189" s="5">
        <v>1</v>
      </c>
      <c r="F189" s="24">
        <v>50.045999999999999</v>
      </c>
      <c r="G189" s="24">
        <v>-145.03</v>
      </c>
      <c r="H189" s="5">
        <v>7</v>
      </c>
      <c r="I189" s="25">
        <v>43329.259722222225</v>
      </c>
      <c r="J189" s="26">
        <v>43329.259722222225</v>
      </c>
      <c r="K189" s="7">
        <v>2.3322401400000006</v>
      </c>
      <c r="L189" s="7">
        <v>2.3391754208815558</v>
      </c>
      <c r="M189" s="7">
        <v>2.0538254726325617E-2</v>
      </c>
      <c r="N189" s="6">
        <v>1563.8603487124151</v>
      </c>
      <c r="O189" s="6">
        <v>127.66047029875688</v>
      </c>
      <c r="P189" s="67">
        <v>1.1169601976727355</v>
      </c>
      <c r="Q189" s="7">
        <v>0.28766856890476489</v>
      </c>
      <c r="R189" s="67">
        <v>1.7467697642303721</v>
      </c>
      <c r="S189" s="7">
        <v>0.47193063084029185</v>
      </c>
      <c r="T189" s="171">
        <f t="shared" si="4"/>
        <v>1.2350689864700832</v>
      </c>
      <c r="U189" s="171">
        <f t="shared" si="5"/>
        <v>0.37010116610653065</v>
      </c>
    </row>
    <row r="190" spans="1:23" s="42" customFormat="1">
      <c r="A190" s="5">
        <v>310</v>
      </c>
      <c r="B190" s="28">
        <v>196.15599999999901</v>
      </c>
      <c r="C190" s="5" t="s">
        <v>135</v>
      </c>
      <c r="D190" s="5">
        <v>22</v>
      </c>
      <c r="E190" s="5">
        <v>1</v>
      </c>
      <c r="F190" s="24">
        <v>50.045999999999999</v>
      </c>
      <c r="G190" s="24">
        <v>-145.03</v>
      </c>
      <c r="H190" s="5">
        <v>5</v>
      </c>
      <c r="I190" s="25">
        <v>43329.259722222225</v>
      </c>
      <c r="J190" s="26">
        <v>43329.259722222225</v>
      </c>
      <c r="K190" s="7">
        <v>2.33732556</v>
      </c>
      <c r="L190" s="7">
        <v>2.1332461194841144</v>
      </c>
      <c r="M190" s="7">
        <v>9.1561718717482074E-2</v>
      </c>
      <c r="N190" s="6">
        <v>2089.0093730843205</v>
      </c>
      <c r="O190" s="6">
        <v>267.9741945134474</v>
      </c>
      <c r="P190" s="67">
        <v>1.0336192000000017</v>
      </c>
      <c r="Q190" s="7">
        <v>7.6308806223517878E-2</v>
      </c>
      <c r="R190" s="67">
        <v>2.1592401969999204</v>
      </c>
      <c r="S190" s="7">
        <v>0.31957975727661941</v>
      </c>
      <c r="T190" s="171">
        <f t="shared" si="4"/>
        <v>1.5267098482375854</v>
      </c>
      <c r="U190" s="171">
        <f t="shared" si="5"/>
        <v>0.30037155368923268</v>
      </c>
    </row>
    <row r="191" spans="1:23" s="42" customFormat="1">
      <c r="A191" s="5">
        <v>309</v>
      </c>
      <c r="B191" s="28">
        <v>329.16699999999997</v>
      </c>
      <c r="C191" s="5" t="s">
        <v>135</v>
      </c>
      <c r="D191" s="5">
        <v>22</v>
      </c>
      <c r="E191" s="5">
        <v>1</v>
      </c>
      <c r="F191" s="24">
        <v>50.045999999999999</v>
      </c>
      <c r="G191" s="24">
        <v>-145.03</v>
      </c>
      <c r="H191" s="5">
        <v>3</v>
      </c>
      <c r="I191" s="25">
        <v>43329.259722222225</v>
      </c>
      <c r="J191" s="26">
        <v>43329.259722222225</v>
      </c>
      <c r="K191" s="7">
        <v>2.3502709800000003</v>
      </c>
      <c r="L191" s="7">
        <v>2.3329168151024708</v>
      </c>
      <c r="M191" s="7">
        <v>8.6731274796083002E-2</v>
      </c>
      <c r="N191" s="6">
        <v>2164.6346299002653</v>
      </c>
      <c r="O191" s="6">
        <v>463.31344328068246</v>
      </c>
      <c r="P191" s="67">
        <v>0.93978100734870584</v>
      </c>
      <c r="Q191" s="7">
        <v>0.1503684181233878</v>
      </c>
      <c r="R191" s="67">
        <v>2.0342825130295643</v>
      </c>
      <c r="S191" s="7">
        <v>0.5436268210289642</v>
      </c>
      <c r="T191" s="171">
        <f t="shared" si="4"/>
        <v>1.4383574143603508</v>
      </c>
      <c r="U191" s="171">
        <f t="shared" si="5"/>
        <v>0.42720907610761738</v>
      </c>
    </row>
    <row r="192" spans="1:23" s="42" customFormat="1">
      <c r="A192" s="5">
        <v>308</v>
      </c>
      <c r="B192" s="28">
        <v>499.19900000000001</v>
      </c>
      <c r="C192" s="5" t="s">
        <v>135</v>
      </c>
      <c r="D192" s="5">
        <v>22</v>
      </c>
      <c r="E192" s="5">
        <v>1</v>
      </c>
      <c r="F192" s="24">
        <v>50.045999999999999</v>
      </c>
      <c r="G192" s="24">
        <v>-145.03</v>
      </c>
      <c r="H192" s="5">
        <v>1</v>
      </c>
      <c r="I192" s="25">
        <v>43329.259722222225</v>
      </c>
      <c r="J192" s="26">
        <v>43329.259722222225</v>
      </c>
      <c r="K192" s="7">
        <v>2.3645997599999999</v>
      </c>
      <c r="L192" s="7">
        <v>2.0958511475015156</v>
      </c>
      <c r="M192" s="7">
        <v>9.1606846637779682E-2</v>
      </c>
      <c r="N192" s="6">
        <v>2821.7411553755883</v>
      </c>
      <c r="O192" s="6">
        <v>514.61470195108575</v>
      </c>
      <c r="P192" s="68">
        <v>0.87680272990205399</v>
      </c>
      <c r="Q192" s="7">
        <v>0.15828163628098546</v>
      </c>
      <c r="R192" s="67">
        <v>2.4741103481102917</v>
      </c>
      <c r="S192" s="7">
        <v>0.63488083944984575</v>
      </c>
      <c r="T192" s="171">
        <f t="shared" si="4"/>
        <v>1.7493415690087037</v>
      </c>
      <c r="U192" s="171">
        <f t="shared" si="5"/>
        <v>0.50292044099883637</v>
      </c>
    </row>
    <row r="193" spans="1:21" s="42" customFormat="1">
      <c r="A193" s="5">
        <v>321</v>
      </c>
      <c r="B193" s="28">
        <v>6.024</v>
      </c>
      <c r="C193" s="5" t="s">
        <v>137</v>
      </c>
      <c r="D193" s="5">
        <v>23</v>
      </c>
      <c r="E193" s="5">
        <v>1</v>
      </c>
      <c r="F193" s="24">
        <v>50.018999999999998</v>
      </c>
      <c r="G193" s="24">
        <v>-145.18199999999999</v>
      </c>
      <c r="H193" s="5">
        <v>17</v>
      </c>
      <c r="I193" s="25">
        <v>43329.71875</v>
      </c>
      <c r="J193" s="26">
        <v>43329.71875</v>
      </c>
      <c r="K193" s="7">
        <v>2.2237485600000002</v>
      </c>
      <c r="L193" s="7">
        <v>1.3596971323976152</v>
      </c>
      <c r="M193" s="7">
        <v>6.6473288837923056E-2</v>
      </c>
      <c r="N193" s="6">
        <v>322.8651718590458</v>
      </c>
      <c r="O193" s="6">
        <v>24.83869494232033</v>
      </c>
      <c r="P193" s="7">
        <v>5.3045246601367619</v>
      </c>
      <c r="Q193" s="7">
        <v>1.8998610814664527</v>
      </c>
      <c r="R193" s="67">
        <v>1.7126462660256023</v>
      </c>
      <c r="S193" s="7">
        <v>0.62739009624904474</v>
      </c>
      <c r="T193" s="171">
        <f t="shared" si="4"/>
        <v>1.2109416657403544</v>
      </c>
      <c r="U193" s="171">
        <f t="shared" si="5"/>
        <v>0.47055453413147169</v>
      </c>
    </row>
    <row r="194" spans="1:21" s="42" customFormat="1">
      <c r="A194" s="5">
        <v>322</v>
      </c>
      <c r="B194" s="28">
        <v>19.960999999999999</v>
      </c>
      <c r="C194" s="5" t="s">
        <v>137</v>
      </c>
      <c r="D194" s="5">
        <v>23</v>
      </c>
      <c r="E194" s="5">
        <v>1</v>
      </c>
      <c r="F194" s="24">
        <v>50.018999999999998</v>
      </c>
      <c r="G194" s="24">
        <v>-145.18199999999999</v>
      </c>
      <c r="H194" s="5">
        <v>16</v>
      </c>
      <c r="I194" s="25">
        <v>43329.71875</v>
      </c>
      <c r="J194" s="26">
        <v>43329.71875</v>
      </c>
      <c r="K194" s="7">
        <v>2.22403152</v>
      </c>
      <c r="L194" s="7">
        <v>1.4883990191613479</v>
      </c>
      <c r="M194" s="7">
        <v>6.4762364957971164E-2</v>
      </c>
      <c r="N194" s="6">
        <v>627.73452619360978</v>
      </c>
      <c r="O194" s="6">
        <v>36.56943139612337</v>
      </c>
      <c r="P194" s="7">
        <v>5.3045246601367619</v>
      </c>
      <c r="Q194" s="7">
        <v>1.8998610814664527</v>
      </c>
      <c r="R194" s="67">
        <v>3.3298332742132692</v>
      </c>
      <c r="S194" s="7">
        <v>1.2082815751624527</v>
      </c>
      <c r="T194" s="171">
        <f t="shared" si="4"/>
        <v>2.3543880202832246</v>
      </c>
      <c r="U194" s="171">
        <f t="shared" si="5"/>
        <v>0.907200520876278</v>
      </c>
    </row>
    <row r="195" spans="1:21" s="42" customFormat="1">
      <c r="A195" s="5">
        <v>323</v>
      </c>
      <c r="B195" s="28">
        <v>34.844000000000001</v>
      </c>
      <c r="C195" s="5" t="s">
        <v>137</v>
      </c>
      <c r="D195" s="5">
        <v>23</v>
      </c>
      <c r="E195" s="5">
        <v>1</v>
      </c>
      <c r="F195" s="24">
        <v>50.018999999999998</v>
      </c>
      <c r="G195" s="24">
        <v>-145.18199999999999</v>
      </c>
      <c r="H195" s="5">
        <v>15</v>
      </c>
      <c r="I195" s="25">
        <v>43329.71875</v>
      </c>
      <c r="J195" s="26">
        <v>43329.71875</v>
      </c>
      <c r="K195" s="7">
        <v>2.2378258200000003</v>
      </c>
      <c r="L195" s="7">
        <v>1.3116011710656408</v>
      </c>
      <c r="M195" s="7">
        <v>6.5006485341468689E-2</v>
      </c>
      <c r="N195" s="6">
        <v>1028.0537099291853</v>
      </c>
      <c r="O195" s="6">
        <v>46.116339228754249</v>
      </c>
      <c r="P195" s="7">
        <v>5.3045246601367619</v>
      </c>
      <c r="Q195" s="7">
        <v>1.8998610814664527</v>
      </c>
      <c r="R195" s="67">
        <v>5.453336256264449</v>
      </c>
      <c r="S195" s="7">
        <v>1.968418783497806</v>
      </c>
      <c r="T195" s="171">
        <f t="shared" si="4"/>
        <v>3.8558295551174968</v>
      </c>
      <c r="U195" s="171">
        <f t="shared" si="5"/>
        <v>1.4788123239652728</v>
      </c>
    </row>
    <row r="196" spans="1:21" s="42" customFormat="1">
      <c r="A196" s="5">
        <v>324</v>
      </c>
      <c r="B196" s="28">
        <v>50.016999999999904</v>
      </c>
      <c r="C196" s="5" t="s">
        <v>137</v>
      </c>
      <c r="D196" s="5">
        <v>23</v>
      </c>
      <c r="E196" s="5">
        <v>1</v>
      </c>
      <c r="F196" s="24">
        <v>50.018999999999998</v>
      </c>
      <c r="G196" s="24">
        <v>-145.18199999999999</v>
      </c>
      <c r="H196" s="5">
        <v>14</v>
      </c>
      <c r="I196" s="25">
        <v>43329.71875</v>
      </c>
      <c r="J196" s="26">
        <v>43329.71875</v>
      </c>
      <c r="K196" s="7">
        <v>2.24141784</v>
      </c>
      <c r="L196" s="7">
        <v>1.771298717991928</v>
      </c>
      <c r="M196" s="7">
        <v>7.1842677393932602E-2</v>
      </c>
      <c r="N196" s="6">
        <v>1237.9749484126162</v>
      </c>
      <c r="O196" s="6">
        <v>56.176748674847452</v>
      </c>
      <c r="P196" s="7">
        <v>5.3045246601367619</v>
      </c>
      <c r="Q196" s="7">
        <v>1.8998610814664527</v>
      </c>
      <c r="R196" s="67">
        <v>6.5668686424862583</v>
      </c>
      <c r="S196" s="7">
        <v>2.3707826812833179</v>
      </c>
      <c r="T196" s="171">
        <f t="shared" si="4"/>
        <v>4.6431624617289966</v>
      </c>
      <c r="U196" s="171">
        <f t="shared" si="5"/>
        <v>1.7810592851213298</v>
      </c>
    </row>
    <row r="197" spans="1:21" s="42" customFormat="1">
      <c r="A197" s="5">
        <v>325</v>
      </c>
      <c r="B197" s="28">
        <v>65.896000000000001</v>
      </c>
      <c r="C197" s="5" t="s">
        <v>137</v>
      </c>
      <c r="D197" s="5">
        <v>23</v>
      </c>
      <c r="E197" s="5">
        <v>1</v>
      </c>
      <c r="F197" s="24">
        <v>50.018999999999998</v>
      </c>
      <c r="G197" s="24">
        <v>-145.18199999999999</v>
      </c>
      <c r="H197" s="5">
        <v>13</v>
      </c>
      <c r="I197" s="25">
        <v>43329.71875</v>
      </c>
      <c r="J197" s="26">
        <v>43329.71875</v>
      </c>
      <c r="K197" s="7">
        <v>2.2436029200000003</v>
      </c>
      <c r="L197" s="7">
        <v>1.8703605207038132</v>
      </c>
      <c r="M197" s="7">
        <v>8.8966215625747455E-2</v>
      </c>
      <c r="N197" s="6">
        <v>1400.9507568501776</v>
      </c>
      <c r="O197" s="6">
        <v>68.300183989665967</v>
      </c>
      <c r="P197" s="67">
        <v>4.1323647999999986</v>
      </c>
      <c r="Q197" s="7">
        <v>1.2233144314211324</v>
      </c>
      <c r="R197" s="67">
        <v>5.7892395941410317</v>
      </c>
      <c r="S197" s="7">
        <v>1.7368885443760942</v>
      </c>
      <c r="T197" s="171">
        <f t="shared" si="4"/>
        <v>4.0933329763230599</v>
      </c>
      <c r="U197" s="171">
        <f t="shared" si="5"/>
        <v>1.337804684499567</v>
      </c>
    </row>
    <row r="198" spans="1:21" s="42" customFormat="1">
      <c r="A198" s="5">
        <v>326</v>
      </c>
      <c r="B198" s="28">
        <v>80.382000000000005</v>
      </c>
      <c r="C198" s="5" t="s">
        <v>137</v>
      </c>
      <c r="D198" s="5">
        <v>23</v>
      </c>
      <c r="E198" s="5">
        <v>1</v>
      </c>
      <c r="F198" s="24">
        <v>50.018999999999998</v>
      </c>
      <c r="G198" s="24">
        <v>-145.18199999999999</v>
      </c>
      <c r="H198" s="5">
        <v>12</v>
      </c>
      <c r="I198" s="25">
        <v>43329.71875</v>
      </c>
      <c r="J198" s="26">
        <v>43329.71875</v>
      </c>
      <c r="K198" s="7">
        <v>2.2453950000000003</v>
      </c>
      <c r="L198" s="7">
        <v>2.0732890481008801</v>
      </c>
      <c r="M198" s="7">
        <v>9.5082136452960181E-2</v>
      </c>
      <c r="N198" s="6">
        <v>1474.4696487244953</v>
      </c>
      <c r="O198" s="6">
        <v>79.464529122203842</v>
      </c>
      <c r="P198" s="67">
        <v>3.0647465999999985</v>
      </c>
      <c r="Q198" s="7">
        <v>0.73372105985650871</v>
      </c>
      <c r="R198" s="67">
        <v>4.5188758427315889</v>
      </c>
      <c r="S198" s="7">
        <v>1.108922570944143</v>
      </c>
      <c r="T198" s="171">
        <f t="shared" si="4"/>
        <v>3.1951110680723813</v>
      </c>
      <c r="U198" s="171">
        <f t="shared" si="5"/>
        <v>0.88673854573557287</v>
      </c>
    </row>
    <row r="199" spans="1:21" s="42" customFormat="1">
      <c r="A199" s="5">
        <v>327</v>
      </c>
      <c r="B199" s="28">
        <v>95.602000000000004</v>
      </c>
      <c r="C199" s="5" t="s">
        <v>137</v>
      </c>
      <c r="D199" s="5">
        <v>23</v>
      </c>
      <c r="E199" s="5">
        <v>1</v>
      </c>
      <c r="F199" s="24">
        <v>50.018999999999998</v>
      </c>
      <c r="G199" s="24">
        <v>-145.18199999999999</v>
      </c>
      <c r="H199" s="5">
        <v>11</v>
      </c>
      <c r="I199" s="25">
        <v>43329.71875</v>
      </c>
      <c r="J199" s="26">
        <v>43329.71875</v>
      </c>
      <c r="K199" s="7">
        <v>2.25319212</v>
      </c>
      <c r="L199" s="7">
        <v>2.2801077928438449</v>
      </c>
      <c r="M199" s="7">
        <v>9.0871895060091176E-2</v>
      </c>
      <c r="N199" s="6">
        <v>1462.7746252265538</v>
      </c>
      <c r="O199" s="6">
        <v>88.733468960315264</v>
      </c>
      <c r="P199" s="67">
        <v>1.9430325999999987</v>
      </c>
      <c r="Q199" s="7">
        <v>0.34957445755009298</v>
      </c>
      <c r="R199" s="67">
        <v>2.8422187832679744</v>
      </c>
      <c r="S199" s="7">
        <v>0.53963260051765027</v>
      </c>
      <c r="T199" s="171">
        <f t="shared" ref="T199:T262" si="6">R199*U$1</f>
        <v>2.0096158886306728</v>
      </c>
      <c r="U199" s="171">
        <f t="shared" ref="U199:U262" si="7">((((S199/R199)^2+(V$1/U$1)^2))^0.5)*T199</f>
        <v>0.46199615736252131</v>
      </c>
    </row>
    <row r="200" spans="1:21" s="42" customFormat="1">
      <c r="A200" s="5">
        <v>328</v>
      </c>
      <c r="B200" s="28">
        <v>110.598</v>
      </c>
      <c r="C200" s="5" t="s">
        <v>137</v>
      </c>
      <c r="D200" s="5">
        <v>23</v>
      </c>
      <c r="E200" s="5">
        <v>1</v>
      </c>
      <c r="F200" s="24">
        <v>50.018999999999998</v>
      </c>
      <c r="G200" s="24">
        <v>-145.18199999999999</v>
      </c>
      <c r="H200" s="5">
        <v>10</v>
      </c>
      <c r="I200" s="25">
        <v>43329.71875</v>
      </c>
      <c r="J200" s="26">
        <v>43329.71875</v>
      </c>
      <c r="K200" s="7">
        <v>2.2739110800000004</v>
      </c>
      <c r="L200" s="7">
        <v>2.4848132599986696</v>
      </c>
      <c r="M200" s="7">
        <v>9.8586303830255892E-2</v>
      </c>
      <c r="N200" s="6">
        <v>1369.1498791886881</v>
      </c>
      <c r="O200" s="6">
        <v>98.939360191414082</v>
      </c>
      <c r="P200" s="67">
        <v>1.5094602000000001</v>
      </c>
      <c r="Q200" s="7">
        <v>0.27591484279884126</v>
      </c>
      <c r="R200" s="67">
        <v>2.0666772504701334</v>
      </c>
      <c r="S200" s="7">
        <v>0.40621814741358309</v>
      </c>
      <c r="T200" s="171">
        <f t="shared" si="6"/>
        <v>1.4612623995261069</v>
      </c>
      <c r="U200" s="171">
        <f t="shared" si="7"/>
        <v>0.34405513859700493</v>
      </c>
    </row>
    <row r="201" spans="1:21" s="42" customFormat="1">
      <c r="A201" s="5">
        <v>329</v>
      </c>
      <c r="B201" s="28">
        <v>126.473</v>
      </c>
      <c r="C201" s="5" t="s">
        <v>137</v>
      </c>
      <c r="D201" s="5">
        <v>23</v>
      </c>
      <c r="E201" s="5">
        <v>1</v>
      </c>
      <c r="F201" s="24">
        <v>50.018999999999998</v>
      </c>
      <c r="G201" s="24">
        <v>-145.18199999999999</v>
      </c>
      <c r="H201" s="5">
        <v>9</v>
      </c>
      <c r="I201" s="25">
        <v>43329.71875</v>
      </c>
      <c r="J201" s="26">
        <v>43329.71875</v>
      </c>
      <c r="K201" s="7">
        <v>2.2959269400000002</v>
      </c>
      <c r="L201" s="7">
        <v>2.3358983901860917</v>
      </c>
      <c r="M201" s="7">
        <v>9.328849678742801E-2</v>
      </c>
      <c r="N201" s="6">
        <v>1348.905219840766</v>
      </c>
      <c r="O201" s="6">
        <v>109.64225602563334</v>
      </c>
      <c r="P201" s="67">
        <v>1.3491227000000001</v>
      </c>
      <c r="Q201" s="7">
        <v>0.28723534754697871</v>
      </c>
      <c r="R201" s="67">
        <v>1.819838652235668</v>
      </c>
      <c r="S201" s="7">
        <v>0.41472956029180946</v>
      </c>
      <c r="T201" s="171">
        <f t="shared" si="6"/>
        <v>1.2867329889615384</v>
      </c>
      <c r="U201" s="171">
        <f t="shared" si="7"/>
        <v>0.33735517691908129</v>
      </c>
    </row>
    <row r="202" spans="1:21" s="42" customFormat="1">
      <c r="A202" s="5">
        <v>330</v>
      </c>
      <c r="B202" s="28">
        <v>145.81899999999999</v>
      </c>
      <c r="C202" s="5" t="s">
        <v>137</v>
      </c>
      <c r="D202" s="5">
        <v>23</v>
      </c>
      <c r="E202" s="5">
        <v>1</v>
      </c>
      <c r="F202" s="24">
        <v>50.018999999999998</v>
      </c>
      <c r="G202" s="24">
        <v>-145.18199999999999</v>
      </c>
      <c r="H202" s="5">
        <v>8</v>
      </c>
      <c r="I202" s="25">
        <v>43329.71875</v>
      </c>
      <c r="J202" s="26">
        <v>43329.71875</v>
      </c>
      <c r="K202" s="7">
        <v>2.3217549000000002</v>
      </c>
      <c r="L202" s="7">
        <v>2.2594944105822394</v>
      </c>
      <c r="M202" s="7">
        <v>0.10115813266878849</v>
      </c>
      <c r="N202" s="6">
        <v>1411.1146506763653</v>
      </c>
      <c r="O202" s="6">
        <v>149.12281947757634</v>
      </c>
      <c r="P202" s="67">
        <v>1.1537281000000001</v>
      </c>
      <c r="Q202" s="7">
        <v>0.28797589051956829</v>
      </c>
      <c r="R202" s="67">
        <v>1.6280426248070068</v>
      </c>
      <c r="S202" s="7">
        <v>0.44128717611765134</v>
      </c>
      <c r="T202" s="171">
        <f t="shared" si="6"/>
        <v>1.151121914132982</v>
      </c>
      <c r="U202" s="171">
        <f t="shared" si="7"/>
        <v>0.34585964035745975</v>
      </c>
    </row>
    <row r="203" spans="1:21" s="42" customFormat="1">
      <c r="A203" s="5">
        <v>331</v>
      </c>
      <c r="B203" s="28">
        <v>195.95699999999999</v>
      </c>
      <c r="C203" s="5" t="s">
        <v>137</v>
      </c>
      <c r="D203" s="5">
        <v>23</v>
      </c>
      <c r="E203" s="5">
        <v>1</v>
      </c>
      <c r="F203" s="24">
        <v>50.018999999999998</v>
      </c>
      <c r="G203" s="24">
        <v>-145.18199999999999</v>
      </c>
      <c r="H203" s="5">
        <v>7</v>
      </c>
      <c r="I203" s="25">
        <v>43329.71875</v>
      </c>
      <c r="J203" s="26">
        <v>43329.71875</v>
      </c>
      <c r="K203" s="7">
        <v>2.3364845399999998</v>
      </c>
      <c r="L203" s="7">
        <v>2.2555220954467616</v>
      </c>
      <c r="M203" s="7">
        <v>9.1910255805797814E-2</v>
      </c>
      <c r="N203" s="6">
        <v>1498.1928136967817</v>
      </c>
      <c r="O203" s="6">
        <v>178.91204658821391</v>
      </c>
      <c r="P203" s="67">
        <v>1.0339773999999999</v>
      </c>
      <c r="Q203" s="7">
        <v>7.7154593289492479E-2</v>
      </c>
      <c r="R203" s="67">
        <v>1.5490975102048825</v>
      </c>
      <c r="S203" s="7">
        <v>0.21813594606530365</v>
      </c>
      <c r="T203" s="171">
        <f t="shared" si="6"/>
        <v>1.0953030737368237</v>
      </c>
      <c r="U203" s="171">
        <f t="shared" si="7"/>
        <v>0.2096339531069418</v>
      </c>
    </row>
    <row r="204" spans="1:21" s="42" customFormat="1">
      <c r="A204" s="5">
        <v>332</v>
      </c>
      <c r="B204" s="28">
        <v>220.613</v>
      </c>
      <c r="C204" s="5" t="s">
        <v>137</v>
      </c>
      <c r="D204" s="5">
        <v>23</v>
      </c>
      <c r="E204" s="5">
        <v>1</v>
      </c>
      <c r="F204" s="24">
        <v>50.018999999999998</v>
      </c>
      <c r="G204" s="24">
        <v>-145.18199999999999</v>
      </c>
      <c r="H204" s="5">
        <v>6</v>
      </c>
      <c r="I204" s="25">
        <v>43329.71875</v>
      </c>
      <c r="J204" s="26">
        <v>43329.71875</v>
      </c>
      <c r="K204" s="7">
        <v>2.3378757600000006</v>
      </c>
      <c r="L204" s="7">
        <v>2.2056626215143629</v>
      </c>
      <c r="M204" s="7">
        <v>9.1412763597815513E-2</v>
      </c>
      <c r="N204" s="6">
        <v>1601.5053764703332</v>
      </c>
      <c r="O204" s="6">
        <v>192.64442882201723</v>
      </c>
      <c r="P204" s="67">
        <v>1.0068709</v>
      </c>
      <c r="Q204" s="7">
        <v>7.4954241711587696E-2</v>
      </c>
      <c r="R204" s="67">
        <v>1.6125091597615233</v>
      </c>
      <c r="S204" s="7">
        <v>0.2281076995393794</v>
      </c>
      <c r="T204" s="171">
        <f t="shared" si="6"/>
        <v>1.1401388405059052</v>
      </c>
      <c r="U204" s="171">
        <f t="shared" si="7"/>
        <v>0.21875809062324472</v>
      </c>
    </row>
    <row r="205" spans="1:21" s="42" customFormat="1">
      <c r="A205" s="5">
        <v>333</v>
      </c>
      <c r="B205" s="28">
        <v>250.297</v>
      </c>
      <c r="C205" s="5" t="s">
        <v>137</v>
      </c>
      <c r="D205" s="5">
        <v>23</v>
      </c>
      <c r="E205" s="5">
        <v>1</v>
      </c>
      <c r="F205" s="24">
        <v>50.018999999999998</v>
      </c>
      <c r="G205" s="24">
        <v>-145.18199999999999</v>
      </c>
      <c r="H205" s="5">
        <v>5</v>
      </c>
      <c r="I205" s="25">
        <v>43329.71875</v>
      </c>
      <c r="J205" s="26">
        <v>43329.71875</v>
      </c>
      <c r="K205" s="7">
        <v>2.3407603800000003</v>
      </c>
      <c r="L205" s="7">
        <v>2.2658948730807666</v>
      </c>
      <c r="M205" s="7">
        <v>0.10253880814527093</v>
      </c>
      <c r="N205" s="6">
        <v>1660.1696103700897</v>
      </c>
      <c r="O205" s="6">
        <v>208.72906028006653</v>
      </c>
      <c r="P205" s="67">
        <v>0.98609210000000003</v>
      </c>
      <c r="Q205" s="7">
        <v>9.626818495263971E-2</v>
      </c>
      <c r="R205" s="67">
        <v>1.6370801374460235</v>
      </c>
      <c r="S205" s="7">
        <v>0.2605902738415235</v>
      </c>
      <c r="T205" s="171">
        <f t="shared" si="6"/>
        <v>1.157511967249226</v>
      </c>
      <c r="U205" s="171">
        <f t="shared" si="7"/>
        <v>0.23761697843191384</v>
      </c>
    </row>
    <row r="206" spans="1:21" s="42" customFormat="1">
      <c r="A206" s="5">
        <v>334</v>
      </c>
      <c r="B206" s="28">
        <v>275.10500000000002</v>
      </c>
      <c r="C206" s="5" t="s">
        <v>137</v>
      </c>
      <c r="D206" s="5">
        <v>23</v>
      </c>
      <c r="E206" s="5">
        <v>1</v>
      </c>
      <c r="F206" s="24">
        <v>50.018999999999998</v>
      </c>
      <c r="G206" s="24">
        <v>-145.18199999999999</v>
      </c>
      <c r="H206" s="5">
        <v>4</v>
      </c>
      <c r="I206" s="25">
        <v>43329.71875</v>
      </c>
      <c r="J206" s="26">
        <v>43329.71875</v>
      </c>
      <c r="K206" s="7">
        <v>2.3431891200000003</v>
      </c>
      <c r="L206" s="7">
        <v>2.3009029397444385</v>
      </c>
      <c r="M206" s="7">
        <v>0.10269813011335858</v>
      </c>
      <c r="N206" s="6">
        <v>1690.5460105865955</v>
      </c>
      <c r="O206" s="6">
        <v>221.38281289968728</v>
      </c>
      <c r="P206" s="67">
        <v>0.96872650000000005</v>
      </c>
      <c r="Q206" s="7">
        <v>0.11334197407013252</v>
      </c>
      <c r="R206" s="67">
        <v>1.6376767199245157</v>
      </c>
      <c r="S206" s="7">
        <v>0.28758852045940408</v>
      </c>
      <c r="T206" s="171">
        <f t="shared" si="6"/>
        <v>1.1579337861587042</v>
      </c>
      <c r="U206" s="171">
        <f t="shared" si="7"/>
        <v>0.25273933042211699</v>
      </c>
    </row>
    <row r="207" spans="1:21" s="42" customFormat="1">
      <c r="A207" s="5">
        <v>335</v>
      </c>
      <c r="B207" s="28">
        <v>300.25200000000001</v>
      </c>
      <c r="C207" s="5" t="s">
        <v>137</v>
      </c>
      <c r="D207" s="5">
        <v>23</v>
      </c>
      <c r="E207" s="5">
        <v>1</v>
      </c>
      <c r="F207" s="24">
        <v>50.018999999999998</v>
      </c>
      <c r="G207" s="24">
        <v>-145.18199999999999</v>
      </c>
      <c r="H207" s="5">
        <v>3</v>
      </c>
      <c r="I207" s="25">
        <v>43329.71875</v>
      </c>
      <c r="J207" s="26">
        <v>43329.71875</v>
      </c>
      <c r="K207" s="7">
        <v>2.3463409799999999</v>
      </c>
      <c r="L207" s="7">
        <v>2.4166916024252463</v>
      </c>
      <c r="M207" s="7">
        <v>0.10528330483424565</v>
      </c>
      <c r="N207" s="6">
        <v>1633.7787341776389</v>
      </c>
      <c r="O207" s="6">
        <v>237.12385883112429</v>
      </c>
      <c r="P207" s="67">
        <v>0.95112359999999996</v>
      </c>
      <c r="Q207" s="7">
        <v>0.12996230101636319</v>
      </c>
      <c r="R207" s="67">
        <v>1.5539255112544788</v>
      </c>
      <c r="S207" s="7">
        <v>0.30975717432742045</v>
      </c>
      <c r="T207" s="171">
        <f t="shared" si="6"/>
        <v>1.0987167545121082</v>
      </c>
      <c r="U207" s="171">
        <f t="shared" si="7"/>
        <v>0.26125096991773633</v>
      </c>
    </row>
    <row r="208" spans="1:21" s="42" customFormat="1">
      <c r="A208" s="5">
        <v>336</v>
      </c>
      <c r="B208" s="28">
        <v>331.21899999999999</v>
      </c>
      <c r="C208" s="5" t="s">
        <v>137</v>
      </c>
      <c r="D208" s="5">
        <v>23</v>
      </c>
      <c r="E208" s="5">
        <v>1</v>
      </c>
      <c r="F208" s="24">
        <v>50.018999999999998</v>
      </c>
      <c r="G208" s="24">
        <v>-145.18199999999999</v>
      </c>
      <c r="H208" s="5">
        <v>2</v>
      </c>
      <c r="I208" s="25">
        <v>43329.71875</v>
      </c>
      <c r="J208" s="26">
        <v>43329.71875</v>
      </c>
      <c r="K208" s="7">
        <v>2.3506404000000001</v>
      </c>
      <c r="L208" s="7">
        <v>2.0488387779707757</v>
      </c>
      <c r="M208" s="7">
        <v>8.5247034430323512E-2</v>
      </c>
      <c r="N208" s="6">
        <v>2498.0191990197277</v>
      </c>
      <c r="O208" s="6">
        <v>340.32229589690223</v>
      </c>
      <c r="P208" s="67">
        <v>0.92951240000000002</v>
      </c>
      <c r="Q208" s="7">
        <v>0.14896133251348762</v>
      </c>
      <c r="R208" s="67">
        <v>2.3219398209269047</v>
      </c>
      <c r="S208" s="7">
        <v>0.48839700322142426</v>
      </c>
      <c r="T208" s="171">
        <f t="shared" si="6"/>
        <v>1.6417480540374785</v>
      </c>
      <c r="U208" s="171">
        <f t="shared" si="7"/>
        <v>0.40563344811738017</v>
      </c>
    </row>
    <row r="209" spans="1:21" s="42" customFormat="1">
      <c r="A209" s="5">
        <v>337</v>
      </c>
      <c r="B209" s="28">
        <v>499.39</v>
      </c>
      <c r="C209" s="5" t="s">
        <v>137</v>
      </c>
      <c r="D209" s="5">
        <v>23</v>
      </c>
      <c r="E209" s="5">
        <v>1</v>
      </c>
      <c r="F209" s="24">
        <v>50.018999999999998</v>
      </c>
      <c r="G209" s="24">
        <v>-145.18199999999999</v>
      </c>
      <c r="H209" s="5">
        <v>1</v>
      </c>
      <c r="I209" s="25">
        <v>43329.71875</v>
      </c>
      <c r="J209" s="26">
        <v>43329.71875</v>
      </c>
      <c r="K209" s="7">
        <v>2.36500062</v>
      </c>
      <c r="L209" s="7">
        <v>2.4083215971399126</v>
      </c>
      <c r="M209" s="7">
        <v>9.4996970329615918E-2</v>
      </c>
      <c r="N209" s="6">
        <v>2393.2561241896733</v>
      </c>
      <c r="O209" s="6">
        <v>410.60398509021559</v>
      </c>
      <c r="P209" s="68">
        <v>0.87680272990205399</v>
      </c>
      <c r="Q209" s="7">
        <v>0.15828163628098546</v>
      </c>
      <c r="R209" s="67">
        <v>2.098413503044315</v>
      </c>
      <c r="S209" s="7">
        <v>0.52259863848316512</v>
      </c>
      <c r="T209" s="171">
        <f t="shared" si="6"/>
        <v>1.4837017971524009</v>
      </c>
      <c r="U209" s="171">
        <f t="shared" si="7"/>
        <v>0.41656339225759098</v>
      </c>
    </row>
    <row r="210" spans="1:21" s="42" customFormat="1">
      <c r="A210" s="5">
        <v>338</v>
      </c>
      <c r="B210" s="28">
        <v>5.9179999999999904</v>
      </c>
      <c r="C210" s="5" t="s">
        <v>138</v>
      </c>
      <c r="D210" s="5">
        <v>24</v>
      </c>
      <c r="E210" s="5">
        <v>1</v>
      </c>
      <c r="F210" s="24">
        <v>50.082999999999998</v>
      </c>
      <c r="G210" s="24">
        <v>-145.125</v>
      </c>
      <c r="H210" s="5">
        <v>17</v>
      </c>
      <c r="I210" s="25">
        <v>43329.818749999999</v>
      </c>
      <c r="J210" s="26">
        <v>43329.818749999999</v>
      </c>
      <c r="K210" s="7">
        <v>2.2238114400000004</v>
      </c>
      <c r="L210" s="7">
        <v>1.5121921632750133</v>
      </c>
      <c r="M210" s="7">
        <v>7.7053239900524831E-2</v>
      </c>
      <c r="N210" s="6">
        <v>424.38650938558987</v>
      </c>
      <c r="O210" s="6">
        <v>45.952037258922651</v>
      </c>
      <c r="P210" s="7">
        <v>5.3045246601367619</v>
      </c>
      <c r="Q210" s="7">
        <v>1.8998610814664527</v>
      </c>
      <c r="R210" s="67">
        <v>2.2511687044652229</v>
      </c>
      <c r="S210" s="7">
        <v>0.84231580454381294</v>
      </c>
      <c r="T210" s="171">
        <f t="shared" si="6"/>
        <v>1.5917087112061712</v>
      </c>
      <c r="U210" s="171">
        <f t="shared" si="7"/>
        <v>0.63029360302141069</v>
      </c>
    </row>
    <row r="211" spans="1:21" s="42" customFormat="1">
      <c r="A211" s="5">
        <v>340</v>
      </c>
      <c r="B211" s="28">
        <v>35.554000000000002</v>
      </c>
      <c r="C211" s="5" t="s">
        <v>138</v>
      </c>
      <c r="D211" s="5">
        <v>24</v>
      </c>
      <c r="E211" s="5">
        <v>1</v>
      </c>
      <c r="F211" s="24">
        <v>50.082999999999998</v>
      </c>
      <c r="G211" s="24">
        <v>-145.125</v>
      </c>
      <c r="H211" s="5">
        <v>15</v>
      </c>
      <c r="I211" s="25">
        <v>43329.818749999999</v>
      </c>
      <c r="J211" s="26">
        <v>43329.818749999999</v>
      </c>
      <c r="K211" s="7">
        <v>2.2338172200000002</v>
      </c>
      <c r="L211" s="7">
        <v>1.6561743631285304</v>
      </c>
      <c r="M211" s="7">
        <v>7.0189695850624637E-2</v>
      </c>
      <c r="N211" s="6">
        <v>796.5012882021922</v>
      </c>
      <c r="O211" s="6">
        <v>64.467545664350524</v>
      </c>
      <c r="P211" s="7">
        <v>5.3045246601367619</v>
      </c>
      <c r="Q211" s="7">
        <v>1.8998610814664527</v>
      </c>
      <c r="R211" s="67">
        <v>4.2250607250992269</v>
      </c>
      <c r="S211" s="7">
        <v>1.5514006599168382</v>
      </c>
      <c r="T211" s="171">
        <f t="shared" si="6"/>
        <v>2.9873664946462006</v>
      </c>
      <c r="U211" s="171">
        <f t="shared" si="7"/>
        <v>1.1632763417574672</v>
      </c>
    </row>
    <row r="212" spans="1:21" s="42" customFormat="1">
      <c r="A212" s="5">
        <v>341</v>
      </c>
      <c r="B212" s="28">
        <v>50.716000000000001</v>
      </c>
      <c r="C212" s="5" t="s">
        <v>138</v>
      </c>
      <c r="D212" s="5">
        <v>24</v>
      </c>
      <c r="E212" s="5">
        <v>1</v>
      </c>
      <c r="F212" s="24">
        <v>50.082999999999998</v>
      </c>
      <c r="G212" s="24">
        <v>-145.125</v>
      </c>
      <c r="H212" s="5">
        <v>14</v>
      </c>
      <c r="I212" s="25">
        <v>43329.818749999999</v>
      </c>
      <c r="J212" s="26">
        <v>43329.818749999999</v>
      </c>
      <c r="K212" s="7">
        <v>2.2402702799999998</v>
      </c>
      <c r="L212" s="7">
        <v>1.7289372866260662</v>
      </c>
      <c r="M212" s="7">
        <v>7.9493422163171956E-2</v>
      </c>
      <c r="N212" s="6">
        <v>1017.9432858832944</v>
      </c>
      <c r="O212" s="6">
        <v>73.083639116219715</v>
      </c>
      <c r="P212" s="67">
        <v>5.2511307999999985</v>
      </c>
      <c r="Q212" s="7">
        <v>1.8661004227032043</v>
      </c>
      <c r="R212" s="67">
        <v>5.3453533411549703</v>
      </c>
      <c r="S212" s="7">
        <v>1.9379632691653048</v>
      </c>
      <c r="T212" s="171">
        <f t="shared" si="6"/>
        <v>3.7794792814572986</v>
      </c>
      <c r="U212" s="171">
        <f t="shared" si="7"/>
        <v>1.4552021406348656</v>
      </c>
    </row>
    <row r="213" spans="1:21" s="42" customFormat="1">
      <c r="A213" s="5">
        <v>342</v>
      </c>
      <c r="B213" s="28">
        <v>65.67</v>
      </c>
      <c r="C213" s="5" t="s">
        <v>138</v>
      </c>
      <c r="D213" s="5">
        <v>24</v>
      </c>
      <c r="E213" s="5">
        <v>1</v>
      </c>
      <c r="F213" s="24">
        <v>50.082999999999998</v>
      </c>
      <c r="G213" s="24">
        <v>-145.125</v>
      </c>
      <c r="H213" s="5">
        <v>13</v>
      </c>
      <c r="I213" s="25">
        <v>43329.818749999999</v>
      </c>
      <c r="J213" s="26">
        <v>43329.818749999999</v>
      </c>
      <c r="K213" s="7">
        <v>2.2420230600000002</v>
      </c>
      <c r="L213" s="7">
        <v>1.7651043738615249</v>
      </c>
      <c r="M213" s="7">
        <v>8.3177617828590039E-2</v>
      </c>
      <c r="N213" s="6">
        <v>1222.1703690372583</v>
      </c>
      <c r="O213" s="6">
        <v>81.301260507221713</v>
      </c>
      <c r="P213" s="67">
        <v>4.1490209999999994</v>
      </c>
      <c r="Q213" s="7">
        <v>1.2319105947653697</v>
      </c>
      <c r="R213" s="67">
        <v>5.0708105267133332</v>
      </c>
      <c r="S213" s="7">
        <v>1.5429291956445799</v>
      </c>
      <c r="T213" s="171">
        <f t="shared" si="6"/>
        <v>3.5853613601842134</v>
      </c>
      <c r="U213" s="171">
        <f t="shared" si="7"/>
        <v>1.1858115588421898</v>
      </c>
    </row>
    <row r="214" spans="1:21" s="42" customFormat="1">
      <c r="A214" s="5">
        <v>343</v>
      </c>
      <c r="B214" s="28">
        <v>80.495000000000005</v>
      </c>
      <c r="C214" s="5" t="s">
        <v>138</v>
      </c>
      <c r="D214" s="5">
        <v>24</v>
      </c>
      <c r="E214" s="5">
        <v>1</v>
      </c>
      <c r="F214" s="24">
        <v>50.082999999999998</v>
      </c>
      <c r="G214" s="24">
        <v>-145.125</v>
      </c>
      <c r="H214" s="5">
        <v>12</v>
      </c>
      <c r="I214" s="25">
        <v>43329.818749999999</v>
      </c>
      <c r="J214" s="26">
        <v>43329.818749999999</v>
      </c>
      <c r="K214" s="7">
        <v>2.24844468</v>
      </c>
      <c r="L214" s="7">
        <v>2.1415563320891167</v>
      </c>
      <c r="M214" s="7">
        <v>8.3065923850178927E-2</v>
      </c>
      <c r="N214" s="6">
        <v>1268.2481871282682</v>
      </c>
      <c r="O214" s="6">
        <v>88.83768155573658</v>
      </c>
      <c r="P214" s="67">
        <v>3.0564184999999986</v>
      </c>
      <c r="Q214" s="7">
        <v>0.73037718439133215</v>
      </c>
      <c r="R214" s="67">
        <v>3.8762972217302991</v>
      </c>
      <c r="S214" s="7">
        <v>0.96527547152046522</v>
      </c>
      <c r="T214" s="171">
        <f t="shared" si="6"/>
        <v>2.7407701798689037</v>
      </c>
      <c r="U214" s="171">
        <f t="shared" si="7"/>
        <v>0.76943735150406933</v>
      </c>
    </row>
    <row r="215" spans="1:21" s="42" customFormat="1">
      <c r="A215" s="5">
        <v>344</v>
      </c>
      <c r="B215" s="28">
        <v>95.647999999999996</v>
      </c>
      <c r="C215" s="5" t="s">
        <v>138</v>
      </c>
      <c r="D215" s="5">
        <v>24</v>
      </c>
      <c r="E215" s="5">
        <v>1</v>
      </c>
      <c r="F215" s="24">
        <v>50.082999999999998</v>
      </c>
      <c r="G215" s="24">
        <v>-145.125</v>
      </c>
      <c r="H215" s="5">
        <v>11</v>
      </c>
      <c r="I215" s="25">
        <v>43329.818749999999</v>
      </c>
      <c r="J215" s="26">
        <v>43329.818749999999</v>
      </c>
      <c r="K215" s="7">
        <v>2.2661847000000002</v>
      </c>
      <c r="L215" s="7">
        <v>2.0928997652684131</v>
      </c>
      <c r="M215" s="7">
        <v>9.1601734169671614E-2</v>
      </c>
      <c r="N215" s="6">
        <v>1339.669229581868</v>
      </c>
      <c r="O215" s="6">
        <v>96.527396285947788</v>
      </c>
      <c r="P215" s="67">
        <v>1.9396423999999994</v>
      </c>
      <c r="Q215" s="7">
        <v>0.34861574576824317</v>
      </c>
      <c r="R215" s="67">
        <v>2.5984792396723249</v>
      </c>
      <c r="S215" s="7">
        <v>0.50316138820239265</v>
      </c>
      <c r="T215" s="171">
        <f t="shared" si="6"/>
        <v>1.8372776920143628</v>
      </c>
      <c r="U215" s="171">
        <f t="shared" si="7"/>
        <v>0.42812082073803814</v>
      </c>
    </row>
    <row r="216" spans="1:21" s="42" customFormat="1">
      <c r="A216" s="5">
        <v>345</v>
      </c>
      <c r="B216" s="28">
        <v>109.157</v>
      </c>
      <c r="C216" s="5" t="s">
        <v>138</v>
      </c>
      <c r="D216" s="5">
        <v>24</v>
      </c>
      <c r="E216" s="5">
        <v>1</v>
      </c>
      <c r="F216" s="24">
        <v>50.082999999999998</v>
      </c>
      <c r="G216" s="24">
        <v>-145.125</v>
      </c>
      <c r="H216" s="5">
        <v>10</v>
      </c>
      <c r="I216" s="25">
        <v>43329.818749999999</v>
      </c>
      <c r="J216" s="26">
        <v>43329.818749999999</v>
      </c>
      <c r="K216" s="7">
        <v>2.2984893000000004</v>
      </c>
      <c r="L216" s="7">
        <v>2.6092432775259695</v>
      </c>
      <c r="M216" s="7">
        <v>0.10331190725989763</v>
      </c>
      <c r="N216" s="6">
        <v>1206.7137182997801</v>
      </c>
      <c r="O216" s="6">
        <v>106.16655785944712</v>
      </c>
      <c r="P216" s="67">
        <v>1.5240143000000002</v>
      </c>
      <c r="Q216" s="7">
        <v>0.27440918220865473</v>
      </c>
      <c r="R216" s="67">
        <v>1.8390489626950368</v>
      </c>
      <c r="S216" s="7">
        <v>0.36854892359591107</v>
      </c>
      <c r="T216" s="171">
        <f t="shared" si="6"/>
        <v>1.3003158086065087</v>
      </c>
      <c r="U216" s="171">
        <f t="shared" si="7"/>
        <v>0.31034699085985479</v>
      </c>
    </row>
    <row r="217" spans="1:21" s="42" customFormat="1">
      <c r="A217" s="5">
        <v>346</v>
      </c>
      <c r="B217" s="28">
        <v>125.401</v>
      </c>
      <c r="C217" s="5" t="s">
        <v>138</v>
      </c>
      <c r="D217" s="5">
        <v>24</v>
      </c>
      <c r="E217" s="5">
        <v>1</v>
      </c>
      <c r="F217" s="24">
        <v>50.082999999999998</v>
      </c>
      <c r="G217" s="24">
        <v>-145.125</v>
      </c>
      <c r="H217" s="5">
        <v>9</v>
      </c>
      <c r="I217" s="25">
        <v>43329.818749999999</v>
      </c>
      <c r="J217" s="26">
        <v>43329.818749999999</v>
      </c>
      <c r="K217" s="7">
        <v>2.3192004000000006</v>
      </c>
      <c r="L217" s="7">
        <v>2.2563702875136369</v>
      </c>
      <c r="M217" s="7">
        <v>9.330757323287954E-2</v>
      </c>
      <c r="N217" s="6">
        <v>1239.486265617513</v>
      </c>
      <c r="O217" s="6">
        <v>116.79077065062751</v>
      </c>
      <c r="P217" s="67">
        <v>1.3599499000000002</v>
      </c>
      <c r="Q217" s="7">
        <v>0.28677494324798031</v>
      </c>
      <c r="R217" s="67">
        <v>1.6856392229779105</v>
      </c>
      <c r="S217" s="7">
        <v>0.38932519192481996</v>
      </c>
      <c r="T217" s="171">
        <f t="shared" si="6"/>
        <v>1.191846097470564</v>
      </c>
      <c r="U217" s="171">
        <f t="shared" si="7"/>
        <v>0.31566583382457136</v>
      </c>
    </row>
    <row r="218" spans="1:21" s="42" customFormat="1">
      <c r="A218" s="5">
        <v>347</v>
      </c>
      <c r="B218" s="28">
        <v>145.43</v>
      </c>
      <c r="C218" s="5" t="s">
        <v>138</v>
      </c>
      <c r="D218" s="5">
        <v>24</v>
      </c>
      <c r="E218" s="5">
        <v>1</v>
      </c>
      <c r="F218" s="24">
        <v>50.082999999999998</v>
      </c>
      <c r="G218" s="24">
        <v>-145.125</v>
      </c>
      <c r="H218" s="5">
        <v>8</v>
      </c>
      <c r="I218" s="25">
        <v>43329.818749999999</v>
      </c>
      <c r="J218" s="26">
        <v>43329.818749999999</v>
      </c>
      <c r="K218" s="7">
        <v>2.3306367000000003</v>
      </c>
      <c r="L218" s="7">
        <v>2.4791708136995383</v>
      </c>
      <c r="M218" s="7">
        <v>9.135186855271657E-2</v>
      </c>
      <c r="N218" s="6">
        <v>1090.5827000462882</v>
      </c>
      <c r="O218" s="6">
        <v>148.41433156153457</v>
      </c>
      <c r="P218" s="67">
        <v>1.1576569999999999</v>
      </c>
      <c r="Q218" s="7">
        <v>0.28810228889847006</v>
      </c>
      <c r="R218" s="67">
        <v>1.2625206967874858</v>
      </c>
      <c r="S218" s="7">
        <v>0.35810740644526107</v>
      </c>
      <c r="T218" s="171">
        <f t="shared" si="6"/>
        <v>0.89267640722293584</v>
      </c>
      <c r="U218" s="171">
        <f t="shared" si="7"/>
        <v>0.27839059703194546</v>
      </c>
    </row>
    <row r="219" spans="1:21" s="42" customFormat="1">
      <c r="A219" s="5">
        <v>348</v>
      </c>
      <c r="B219" s="28">
        <v>195.11500000000001</v>
      </c>
      <c r="C219" s="5" t="s">
        <v>138</v>
      </c>
      <c r="D219" s="5">
        <v>24</v>
      </c>
      <c r="E219" s="5">
        <v>1</v>
      </c>
      <c r="F219" s="24">
        <v>50.082999999999998</v>
      </c>
      <c r="G219" s="24">
        <v>-145.125</v>
      </c>
      <c r="H219" s="5">
        <v>7</v>
      </c>
      <c r="I219" s="25">
        <v>43329.818749999999</v>
      </c>
      <c r="J219" s="26">
        <v>43329.818749999999</v>
      </c>
      <c r="K219" s="7">
        <v>2.3358714600000003</v>
      </c>
      <c r="L219" s="7">
        <v>2.3686801555274717</v>
      </c>
      <c r="M219" s="7">
        <v>0.10478790676390067</v>
      </c>
      <c r="N219" s="6">
        <v>1055.2362650432451</v>
      </c>
      <c r="O219" s="6">
        <v>186.47168833318017</v>
      </c>
      <c r="P219" s="67">
        <v>1.035493</v>
      </c>
      <c r="Q219" s="7">
        <v>8.0739532680509998E-2</v>
      </c>
      <c r="R219" s="67">
        <v>1.0926897657984249</v>
      </c>
      <c r="S219" s="7">
        <v>0.21105145184592525</v>
      </c>
      <c r="T219" s="171">
        <f t="shared" si="6"/>
        <v>0.77259594779252694</v>
      </c>
      <c r="U219" s="171">
        <f t="shared" si="7"/>
        <v>0.17971623894819524</v>
      </c>
    </row>
    <row r="220" spans="1:21" s="42" customFormat="1">
      <c r="A220" s="5">
        <v>349</v>
      </c>
      <c r="B220" s="28">
        <v>220.35</v>
      </c>
      <c r="C220" s="5" t="s">
        <v>138</v>
      </c>
      <c r="D220" s="5">
        <v>24</v>
      </c>
      <c r="E220" s="5">
        <v>1</v>
      </c>
      <c r="F220" s="24">
        <v>50.082999999999998</v>
      </c>
      <c r="G220" s="24">
        <v>-145.125</v>
      </c>
      <c r="H220" s="5">
        <v>6</v>
      </c>
      <c r="I220" s="25">
        <v>43329.818749999999</v>
      </c>
      <c r="J220" s="26">
        <v>43329.818749999999</v>
      </c>
      <c r="K220" s="7">
        <v>2.3371369199999998</v>
      </c>
      <c r="L220" s="7">
        <v>2.2398500953733143</v>
      </c>
      <c r="M220" s="7">
        <v>9.8148664209765424E-2</v>
      </c>
      <c r="N220" s="6">
        <v>1131.7033609129878</v>
      </c>
      <c r="O220" s="6">
        <v>201.7993167208088</v>
      </c>
      <c r="P220" s="67">
        <v>1.007055</v>
      </c>
      <c r="Q220" s="7">
        <v>7.4761094504249989E-2</v>
      </c>
      <c r="R220" s="67">
        <v>1.1396875281242289</v>
      </c>
      <c r="S220" s="7">
        <v>0.22013178151746207</v>
      </c>
      <c r="T220" s="171">
        <f t="shared" si="6"/>
        <v>0.80582613065389985</v>
      </c>
      <c r="U220" s="171">
        <f t="shared" si="7"/>
        <v>0.18744765967583252</v>
      </c>
    </row>
    <row r="221" spans="1:21" s="42" customFormat="1">
      <c r="A221" s="5">
        <v>350</v>
      </c>
      <c r="B221" s="28">
        <v>249.774</v>
      </c>
      <c r="C221" s="5" t="s">
        <v>138</v>
      </c>
      <c r="D221" s="5">
        <v>24</v>
      </c>
      <c r="E221" s="5">
        <v>1</v>
      </c>
      <c r="F221" s="24">
        <v>50.082999999999998</v>
      </c>
      <c r="G221" s="24">
        <v>-145.125</v>
      </c>
      <c r="H221" s="5">
        <v>5</v>
      </c>
      <c r="I221" s="25">
        <v>43329.818749999999</v>
      </c>
      <c r="J221" s="26">
        <v>43329.818749999999</v>
      </c>
      <c r="K221" s="7">
        <v>2.34072894</v>
      </c>
      <c r="L221" s="7">
        <v>2.3339029582878084</v>
      </c>
      <c r="M221" s="7">
        <v>0.10723279161970529</v>
      </c>
      <c r="N221" s="6">
        <v>1137.050398942607</v>
      </c>
      <c r="O221" s="6">
        <v>218.58373637740323</v>
      </c>
      <c r="P221" s="67">
        <v>0.98645819999999995</v>
      </c>
      <c r="Q221" s="7">
        <v>9.5900994139750825E-2</v>
      </c>
      <c r="R221" s="67">
        <v>1.1216526898502059</v>
      </c>
      <c r="S221" s="7">
        <v>0.24162830895428208</v>
      </c>
      <c r="T221" s="171">
        <f t="shared" si="6"/>
        <v>0.79307443899746488</v>
      </c>
      <c r="U221" s="171">
        <f t="shared" si="7"/>
        <v>0.19939028778262366</v>
      </c>
    </row>
    <row r="222" spans="1:21" s="42" customFormat="1">
      <c r="A222" s="5">
        <v>351</v>
      </c>
      <c r="B222" s="28">
        <v>274.82400000000001</v>
      </c>
      <c r="C222" s="5" t="s">
        <v>138</v>
      </c>
      <c r="D222" s="5">
        <v>24</v>
      </c>
      <c r="E222" s="5">
        <v>1</v>
      </c>
      <c r="F222" s="24">
        <v>50.082999999999998</v>
      </c>
      <c r="G222" s="24">
        <v>-145.125</v>
      </c>
      <c r="H222" s="5">
        <v>4</v>
      </c>
      <c r="I222" s="25">
        <v>43329.818749999999</v>
      </c>
      <c r="J222" s="26">
        <v>43329.818749999999</v>
      </c>
      <c r="K222" s="7">
        <v>2.3417743200000003</v>
      </c>
      <c r="L222" s="7">
        <v>2.4410478516251404</v>
      </c>
      <c r="M222" s="7">
        <v>0.10404494558959426</v>
      </c>
      <c r="N222" s="6">
        <v>1065.3672332797908</v>
      </c>
      <c r="O222" s="6">
        <v>231.13446441503299</v>
      </c>
      <c r="P222" s="67">
        <v>0.96892319999999998</v>
      </c>
      <c r="Q222" s="7">
        <v>0.11315234731342082</v>
      </c>
      <c r="R222" s="67">
        <v>1.0322590288446012</v>
      </c>
      <c r="S222" s="7">
        <v>0.25433503182080014</v>
      </c>
      <c r="T222" s="171">
        <f t="shared" si="6"/>
        <v>0.72986786160190986</v>
      </c>
      <c r="U222" s="171">
        <f t="shared" si="7"/>
        <v>0.20319859585463615</v>
      </c>
    </row>
    <row r="223" spans="1:21" s="42" customFormat="1">
      <c r="A223" s="5">
        <v>352</v>
      </c>
      <c r="B223" s="28">
        <v>299.988</v>
      </c>
      <c r="C223" s="5" t="s">
        <v>138</v>
      </c>
      <c r="D223" s="5">
        <v>24</v>
      </c>
      <c r="E223" s="5">
        <v>1</v>
      </c>
      <c r="F223" s="24">
        <v>50.082999999999998</v>
      </c>
      <c r="G223" s="24">
        <v>-145.125</v>
      </c>
      <c r="H223" s="5">
        <v>3</v>
      </c>
      <c r="I223" s="25">
        <v>43329.818749999999</v>
      </c>
      <c r="J223" s="26">
        <v>43329.818749999999</v>
      </c>
      <c r="K223" s="7">
        <v>2.3447453999999999</v>
      </c>
      <c r="L223" s="7">
        <v>2.5078428540397479</v>
      </c>
      <c r="M223" s="7">
        <v>0.11407171884756702</v>
      </c>
      <c r="N223" s="6">
        <v>937.01842576175443</v>
      </c>
      <c r="O223" s="6">
        <v>247.95458255107343</v>
      </c>
      <c r="P223" s="67">
        <v>0.95130840000000005</v>
      </c>
      <c r="Q223" s="7">
        <v>0.1297914076672752</v>
      </c>
      <c r="R223" s="67">
        <v>0.89139349938193346</v>
      </c>
      <c r="S223" s="7">
        <v>0.26538774867594139</v>
      </c>
      <c r="T223" s="171">
        <f t="shared" si="6"/>
        <v>0.63026764509674049</v>
      </c>
      <c r="U223" s="171">
        <f t="shared" si="7"/>
        <v>0.2046587403484002</v>
      </c>
    </row>
    <row r="224" spans="1:21" s="42" customFormat="1">
      <c r="A224" s="5">
        <v>353</v>
      </c>
      <c r="B224" s="28">
        <v>329.54899999999998</v>
      </c>
      <c r="C224" s="5" t="s">
        <v>138</v>
      </c>
      <c r="D224" s="5">
        <v>24</v>
      </c>
      <c r="E224" s="5">
        <v>1</v>
      </c>
      <c r="F224" s="24">
        <v>50.082999999999998</v>
      </c>
      <c r="G224" s="24">
        <v>-145.125</v>
      </c>
      <c r="H224" s="5">
        <v>2</v>
      </c>
      <c r="I224" s="25">
        <v>43329.818749999999</v>
      </c>
      <c r="J224" s="26">
        <v>43329.818749999999</v>
      </c>
      <c r="K224" s="7">
        <v>2.3496264600000001</v>
      </c>
      <c r="L224" s="7">
        <v>2.2590707849123755</v>
      </c>
      <c r="M224" s="7">
        <v>0.10685023837532283</v>
      </c>
      <c r="N224" s="6">
        <v>1196.5046459794889</v>
      </c>
      <c r="O224" s="6">
        <v>393.98794847189572</v>
      </c>
      <c r="P224" s="67">
        <v>0.93978100734870584</v>
      </c>
      <c r="Q224" s="7">
        <v>0.1503684181233878</v>
      </c>
      <c r="R224" s="67">
        <v>1.1244523414960108</v>
      </c>
      <c r="S224" s="7">
        <v>0.41166028367298557</v>
      </c>
      <c r="T224" s="171">
        <f t="shared" si="6"/>
        <v>0.79505395741566753</v>
      </c>
      <c r="U224" s="171">
        <f t="shared" si="7"/>
        <v>0.30877459784087274</v>
      </c>
    </row>
    <row r="225" spans="1:21" s="42" customFormat="1">
      <c r="A225" s="5">
        <v>354</v>
      </c>
      <c r="B225" s="28">
        <v>499.25699999999898</v>
      </c>
      <c r="C225" s="5" t="s">
        <v>138</v>
      </c>
      <c r="D225" s="5">
        <v>24</v>
      </c>
      <c r="E225" s="5">
        <v>1</v>
      </c>
      <c r="F225" s="24">
        <v>50.082999999999998</v>
      </c>
      <c r="G225" s="24">
        <v>-145.125</v>
      </c>
      <c r="H225" s="5">
        <v>1</v>
      </c>
      <c r="I225" s="25">
        <v>43329.818749999999</v>
      </c>
      <c r="J225" s="26">
        <v>43329.818749999999</v>
      </c>
      <c r="K225" s="7">
        <v>2.3653621800000004</v>
      </c>
      <c r="L225" s="7">
        <v>2.1764924075341625</v>
      </c>
      <c r="M225" s="7">
        <v>0.10304923511853305</v>
      </c>
      <c r="N225" s="6">
        <v>1657.4226351296818</v>
      </c>
      <c r="O225" s="6">
        <v>467.40713360378135</v>
      </c>
      <c r="P225" s="68">
        <v>0.87680272990205399</v>
      </c>
      <c r="Q225" s="7">
        <v>0.15828163628098546</v>
      </c>
      <c r="R225" s="67">
        <v>1.453232691083161</v>
      </c>
      <c r="S225" s="7">
        <v>0.48659802391046159</v>
      </c>
      <c r="T225" s="171">
        <f t="shared" si="6"/>
        <v>1.0275210068523712</v>
      </c>
      <c r="U225" s="171">
        <f t="shared" si="7"/>
        <v>0.36893496952448068</v>
      </c>
    </row>
    <row r="226" spans="1:21" s="42" customFormat="1">
      <c r="A226" s="5">
        <v>387</v>
      </c>
      <c r="B226" s="28">
        <v>8.01</v>
      </c>
      <c r="C226" s="5" t="s">
        <v>139</v>
      </c>
      <c r="D226" s="5">
        <v>28</v>
      </c>
      <c r="E226" s="5">
        <v>1</v>
      </c>
      <c r="F226" s="24">
        <v>50.024999999999999</v>
      </c>
      <c r="G226" s="24">
        <v>-145.45500000000001</v>
      </c>
      <c r="H226" s="5">
        <v>13</v>
      </c>
      <c r="I226" s="25">
        <v>43332.196527777778</v>
      </c>
      <c r="J226" s="26">
        <v>43332.196527777778</v>
      </c>
      <c r="K226" s="7">
        <v>2.2228525200000004</v>
      </c>
      <c r="L226" s="7">
        <v>0.94415987532625711</v>
      </c>
      <c r="M226" s="7">
        <v>5.0604592951540371E-2</v>
      </c>
      <c r="N226" s="6">
        <v>552.60254972446455</v>
      </c>
      <c r="O226" s="6">
        <v>21.869389183766607</v>
      </c>
      <c r="P226" s="7">
        <v>5.3045246601367619</v>
      </c>
      <c r="Q226" s="7">
        <v>1.8998610814664527</v>
      </c>
      <c r="R226" s="67">
        <v>2.9312938522678733</v>
      </c>
      <c r="S226" s="7">
        <v>1.0562577992160196</v>
      </c>
      <c r="T226" s="171">
        <f t="shared" si="6"/>
        <v>2.0725972027352997</v>
      </c>
      <c r="U226" s="171">
        <f t="shared" si="7"/>
        <v>0.79368958546004886</v>
      </c>
    </row>
    <row r="227" spans="1:21" s="42" customFormat="1">
      <c r="A227" s="5">
        <v>388</v>
      </c>
      <c r="B227" s="28">
        <v>22.042999999999999</v>
      </c>
      <c r="C227" s="5" t="s">
        <v>139</v>
      </c>
      <c r="D227" s="5">
        <v>28</v>
      </c>
      <c r="E227" s="5">
        <v>1</v>
      </c>
      <c r="F227" s="24">
        <v>50.024999999999999</v>
      </c>
      <c r="G227" s="24">
        <v>-145.45500000000001</v>
      </c>
      <c r="H227" s="5">
        <v>12</v>
      </c>
      <c r="I227" s="25">
        <v>43332.196527777778</v>
      </c>
      <c r="J227" s="26">
        <v>43332.196527777778</v>
      </c>
      <c r="K227" s="7">
        <v>2.2228839600000003</v>
      </c>
      <c r="L227" s="7">
        <v>1.1625224751048644</v>
      </c>
      <c r="M227" s="7">
        <v>6.0771548606801271E-2</v>
      </c>
      <c r="N227" s="6">
        <v>977.9149622002933</v>
      </c>
      <c r="O227" s="6">
        <v>32.748093083432558</v>
      </c>
      <c r="P227" s="7">
        <v>5.3045246601367619</v>
      </c>
      <c r="Q227" s="7">
        <v>1.8998610814664527</v>
      </c>
      <c r="R227" s="67">
        <v>5.1873740325081652</v>
      </c>
      <c r="S227" s="7">
        <v>1.8660059533313647</v>
      </c>
      <c r="T227" s="171">
        <f t="shared" si="6"/>
        <v>3.6677786162585155</v>
      </c>
      <c r="U227" s="171">
        <f t="shared" si="7"/>
        <v>1.4024238280171848</v>
      </c>
    </row>
    <row r="228" spans="1:21" s="42" customFormat="1">
      <c r="A228" s="5">
        <v>389</v>
      </c>
      <c r="B228" s="28">
        <v>35.902999999999999</v>
      </c>
      <c r="C228" s="5" t="s">
        <v>139</v>
      </c>
      <c r="D228" s="5">
        <v>28</v>
      </c>
      <c r="E228" s="5">
        <v>1</v>
      </c>
      <c r="F228" s="24">
        <v>50.024999999999999</v>
      </c>
      <c r="G228" s="24">
        <v>-145.45500000000001</v>
      </c>
      <c r="H228" s="5">
        <v>11</v>
      </c>
      <c r="I228" s="25">
        <v>43332.196527777778</v>
      </c>
      <c r="J228" s="26">
        <v>43332.196527777778</v>
      </c>
      <c r="K228" s="7">
        <v>2.2376293199999999</v>
      </c>
      <c r="L228" s="7">
        <v>1.4096924575031997</v>
      </c>
      <c r="M228" s="7">
        <v>7.0721240724321371E-2</v>
      </c>
      <c r="N228" s="6">
        <v>1318.8117889243567</v>
      </c>
      <c r="O228" s="6">
        <v>43.821803463553579</v>
      </c>
      <c r="P228" s="7">
        <v>5.3045246601367619</v>
      </c>
      <c r="Q228" s="7">
        <v>1.8998610814664527</v>
      </c>
      <c r="R228" s="67">
        <v>6.9956696564283281</v>
      </c>
      <c r="S228" s="7">
        <v>2.5163190673654938</v>
      </c>
      <c r="T228" s="171">
        <f t="shared" si="6"/>
        <v>4.94635000512005</v>
      </c>
      <c r="U228" s="171">
        <f t="shared" si="7"/>
        <v>1.891190614807015</v>
      </c>
    </row>
    <row r="229" spans="1:21" s="42" customFormat="1">
      <c r="A229" s="5">
        <v>390</v>
      </c>
      <c r="B229" s="28">
        <v>50.676000000000002</v>
      </c>
      <c r="C229" s="5" t="s">
        <v>139</v>
      </c>
      <c r="D229" s="5">
        <v>28</v>
      </c>
      <c r="E229" s="5">
        <v>1</v>
      </c>
      <c r="F229" s="24">
        <v>50.024999999999999</v>
      </c>
      <c r="G229" s="24">
        <v>-145.45500000000001</v>
      </c>
      <c r="H229" s="5">
        <v>10</v>
      </c>
      <c r="I229" s="25">
        <v>43332.196527777778</v>
      </c>
      <c r="J229" s="26">
        <v>43332.196527777778</v>
      </c>
      <c r="K229" s="7">
        <v>2.2410091200000002</v>
      </c>
      <c r="L229" s="7">
        <v>1.5072174414596464</v>
      </c>
      <c r="M229" s="7">
        <v>6.9902601956584029E-2</v>
      </c>
      <c r="N229" s="6">
        <v>1633.4279649685818</v>
      </c>
      <c r="O229" s="6">
        <v>53.090609770402502</v>
      </c>
      <c r="P229" s="67">
        <v>5.2540787999999985</v>
      </c>
      <c r="Q229" s="7">
        <v>1.8679695846322601</v>
      </c>
      <c r="R229" s="67">
        <v>8.5821592420685668</v>
      </c>
      <c r="S229" s="7">
        <v>3.0639177733075482</v>
      </c>
      <c r="T229" s="171">
        <f t="shared" si="6"/>
        <v>6.0680914759803244</v>
      </c>
      <c r="U229" s="171">
        <f t="shared" si="7"/>
        <v>2.3047479112302374</v>
      </c>
    </row>
    <row r="230" spans="1:21" s="42" customFormat="1">
      <c r="A230" s="5">
        <v>391</v>
      </c>
      <c r="B230" s="28">
        <v>65.718999999999994</v>
      </c>
      <c r="C230" s="5" t="s">
        <v>139</v>
      </c>
      <c r="D230" s="5">
        <v>28</v>
      </c>
      <c r="E230" s="5">
        <v>1</v>
      </c>
      <c r="F230" s="24">
        <v>50.024999999999999</v>
      </c>
      <c r="G230" s="24">
        <v>-145.45500000000001</v>
      </c>
      <c r="H230" s="5">
        <v>9</v>
      </c>
      <c r="I230" s="25">
        <v>43332.196527777778</v>
      </c>
      <c r="J230" s="26">
        <v>43332.196527777778</v>
      </c>
      <c r="K230" s="7">
        <v>2.24589018</v>
      </c>
      <c r="L230" s="7">
        <v>1.4877087492334553</v>
      </c>
      <c r="M230" s="7">
        <v>7.3162244243590288E-2</v>
      </c>
      <c r="N230" s="6">
        <v>1956.3862328889372</v>
      </c>
      <c r="O230" s="6">
        <v>61.561671831331132</v>
      </c>
      <c r="P230" s="67">
        <v>4.1454096999999992</v>
      </c>
      <c r="Q230" s="7">
        <v>1.2300443262035612</v>
      </c>
      <c r="R230" s="67">
        <v>8.1100224667642582</v>
      </c>
      <c r="S230" s="7">
        <v>2.4199355913439771</v>
      </c>
      <c r="T230" s="171">
        <f t="shared" si="6"/>
        <v>5.7342629998461101</v>
      </c>
      <c r="U230" s="171">
        <f t="shared" si="7"/>
        <v>1.8655156385204981</v>
      </c>
    </row>
    <row r="231" spans="1:21" s="42" customFormat="1">
      <c r="A231" s="5">
        <v>392</v>
      </c>
      <c r="B231" s="28">
        <v>80.298000000000002</v>
      </c>
      <c r="C231" s="5" t="s">
        <v>139</v>
      </c>
      <c r="D231" s="5">
        <v>28</v>
      </c>
      <c r="E231" s="5">
        <v>1</v>
      </c>
      <c r="F231" s="24">
        <v>50.024999999999999</v>
      </c>
      <c r="G231" s="24">
        <v>-145.45500000000001</v>
      </c>
      <c r="H231" s="5">
        <v>8</v>
      </c>
      <c r="I231" s="25">
        <v>43332.196527777778</v>
      </c>
      <c r="J231" s="26">
        <v>43332.196527777778</v>
      </c>
      <c r="K231" s="7">
        <v>2.2470377400000001</v>
      </c>
      <c r="L231" s="7">
        <v>1.9589168460753563</v>
      </c>
      <c r="M231" s="7">
        <v>8.7463999992603986E-2</v>
      </c>
      <c r="N231" s="6">
        <v>2081.6303743941403</v>
      </c>
      <c r="O231" s="6">
        <v>72.355781392598246</v>
      </c>
      <c r="P231" s="67">
        <v>3.0709373999999992</v>
      </c>
      <c r="Q231" s="7">
        <v>0.73621153995961308</v>
      </c>
      <c r="R231" s="67">
        <v>6.3925565697029665</v>
      </c>
      <c r="S231" s="7">
        <v>1.5485449151490425</v>
      </c>
      <c r="T231" s="171">
        <f t="shared" si="6"/>
        <v>4.5199135714227143</v>
      </c>
      <c r="U231" s="171">
        <f t="shared" si="7"/>
        <v>1.2418152883834621</v>
      </c>
    </row>
    <row r="232" spans="1:21" s="42" customFormat="1">
      <c r="A232" s="5">
        <v>393</v>
      </c>
      <c r="B232" s="28">
        <v>95.947999999999993</v>
      </c>
      <c r="C232" s="5" t="s">
        <v>139</v>
      </c>
      <c r="D232" s="5">
        <v>28</v>
      </c>
      <c r="E232" s="5">
        <v>1</v>
      </c>
      <c r="F232" s="24">
        <v>50.024999999999999</v>
      </c>
      <c r="G232" s="24">
        <v>-145.45500000000001</v>
      </c>
      <c r="H232" s="5">
        <v>7</v>
      </c>
      <c r="I232" s="25">
        <v>43332.196527777778</v>
      </c>
      <c r="J232" s="26">
        <v>43332.196527777778</v>
      </c>
      <c r="K232" s="7">
        <v>2.2490577600000003</v>
      </c>
      <c r="L232" s="7">
        <v>1.6032975105954042</v>
      </c>
      <c r="M232" s="7">
        <v>7.4916317111887426E-2</v>
      </c>
      <c r="N232" s="6">
        <v>2385.0886267505507</v>
      </c>
      <c r="O232" s="6">
        <v>80.465828147855646</v>
      </c>
      <c r="P232" s="67">
        <v>1.9175323999999998</v>
      </c>
      <c r="Q232" s="7">
        <v>0.34239318171028316</v>
      </c>
      <c r="R232" s="67">
        <v>4.5734847186656875</v>
      </c>
      <c r="S232" s="7">
        <v>0.83108661611830281</v>
      </c>
      <c r="T232" s="171">
        <f t="shared" si="6"/>
        <v>3.233722756019656</v>
      </c>
      <c r="U232" s="171">
        <f t="shared" si="7"/>
        <v>0.72181059941388359</v>
      </c>
    </row>
    <row r="233" spans="1:21" s="42" customFormat="1">
      <c r="A233" s="5">
        <v>394</v>
      </c>
      <c r="B233" s="28">
        <v>112.977</v>
      </c>
      <c r="C233" s="5" t="s">
        <v>139</v>
      </c>
      <c r="D233" s="5">
        <v>28</v>
      </c>
      <c r="E233" s="5">
        <v>1</v>
      </c>
      <c r="F233" s="24">
        <v>50.024999999999999</v>
      </c>
      <c r="G233" s="24">
        <v>-145.45500000000001</v>
      </c>
      <c r="H233" s="5">
        <v>6</v>
      </c>
      <c r="I233" s="25">
        <v>43332.196527777778</v>
      </c>
      <c r="J233" s="26">
        <v>43332.196527777778</v>
      </c>
      <c r="K233" s="7">
        <v>2.2625298000000003</v>
      </c>
      <c r="L233" s="7">
        <v>2.0598074705856306</v>
      </c>
      <c r="M233" s="7">
        <v>9.3057943951514482E-2</v>
      </c>
      <c r="N233" s="6">
        <v>2476.1199251479029</v>
      </c>
      <c r="O233" s="6">
        <v>90.669257190095578</v>
      </c>
      <c r="P233" s="67">
        <v>1.4854323</v>
      </c>
      <c r="Q233" s="7">
        <v>0.27822647421141872</v>
      </c>
      <c r="R233" s="67">
        <v>3.6781085154882773</v>
      </c>
      <c r="S233" s="7">
        <v>0.70196382010695713</v>
      </c>
      <c r="T233" s="171">
        <f t="shared" si="6"/>
        <v>2.6006391050354671</v>
      </c>
      <c r="U233" s="171">
        <f t="shared" si="7"/>
        <v>0.59998757157048277</v>
      </c>
    </row>
    <row r="234" spans="1:21" s="42" customFormat="1">
      <c r="A234" s="5">
        <v>395</v>
      </c>
      <c r="B234" s="28">
        <v>127.175</v>
      </c>
      <c r="C234" s="5" t="s">
        <v>139</v>
      </c>
      <c r="D234" s="5">
        <v>28</v>
      </c>
      <c r="E234" s="5">
        <v>1</v>
      </c>
      <c r="F234" s="24">
        <v>50.024999999999999</v>
      </c>
      <c r="G234" s="24">
        <v>-145.45500000000001</v>
      </c>
      <c r="H234" s="5">
        <v>5</v>
      </c>
      <c r="I234" s="25">
        <v>43332.196527777778</v>
      </c>
      <c r="J234" s="26">
        <v>43332.196527777778</v>
      </c>
      <c r="K234" s="7">
        <v>2.28789402</v>
      </c>
      <c r="L234" s="7">
        <v>2.336324645135428</v>
      </c>
      <c r="M234" s="7">
        <v>0.10039165812588625</v>
      </c>
      <c r="N234" s="6">
        <v>2453.5722301071528</v>
      </c>
      <c r="O234" s="6">
        <v>102.00711359044978</v>
      </c>
      <c r="P234" s="67">
        <v>1.3420325000000002</v>
      </c>
      <c r="Q234" s="7">
        <v>0.28751298315168755</v>
      </c>
      <c r="R234" s="67">
        <v>3.2927736739012778</v>
      </c>
      <c r="S234" s="7">
        <v>0.71859425091671381</v>
      </c>
      <c r="T234" s="171">
        <f t="shared" si="6"/>
        <v>2.3281847026316367</v>
      </c>
      <c r="U234" s="171">
        <f t="shared" si="7"/>
        <v>0.59095834467935437</v>
      </c>
    </row>
    <row r="235" spans="1:21" s="42" customFormat="1">
      <c r="A235" s="5">
        <v>396</v>
      </c>
      <c r="B235" s="28">
        <v>145.35299999999901</v>
      </c>
      <c r="C235" s="5" t="s">
        <v>139</v>
      </c>
      <c r="D235" s="5">
        <v>28</v>
      </c>
      <c r="E235" s="5">
        <v>1</v>
      </c>
      <c r="F235" s="24">
        <v>50.024999999999999</v>
      </c>
      <c r="G235" s="24">
        <v>-145.45500000000001</v>
      </c>
      <c r="H235" s="5">
        <v>4</v>
      </c>
      <c r="I235" s="25">
        <v>43332.196527777778</v>
      </c>
      <c r="J235" s="26">
        <v>43332.196527777778</v>
      </c>
      <c r="K235" s="7">
        <v>2.3158913399999999</v>
      </c>
      <c r="L235" s="7">
        <v>2.3341554566101284</v>
      </c>
      <c r="M235" s="7">
        <v>0.10232043913189542</v>
      </c>
      <c r="N235" s="6">
        <v>2435.6322164560706</v>
      </c>
      <c r="O235" s="6">
        <v>143.20143715644411</v>
      </c>
      <c r="P235" s="67">
        <v>1.1584347000000101</v>
      </c>
      <c r="Q235" s="7">
        <v>0.28812662114064308</v>
      </c>
      <c r="R235" s="67">
        <v>2.8215208759806476</v>
      </c>
      <c r="S235" s="7">
        <v>0.72111104459583231</v>
      </c>
      <c r="T235" s="171">
        <f t="shared" si="6"/>
        <v>1.9949812505124238</v>
      </c>
      <c r="U235" s="171">
        <f t="shared" si="7"/>
        <v>0.57169843246486252</v>
      </c>
    </row>
    <row r="236" spans="1:21" s="42" customFormat="1">
      <c r="A236" s="5">
        <v>397</v>
      </c>
      <c r="B236" s="28">
        <v>195.482</v>
      </c>
      <c r="C236" s="5" t="s">
        <v>139</v>
      </c>
      <c r="D236" s="5">
        <v>28</v>
      </c>
      <c r="E236" s="5">
        <v>1</v>
      </c>
      <c r="F236" s="24">
        <v>50.024999999999999</v>
      </c>
      <c r="G236" s="24">
        <v>-145.45500000000001</v>
      </c>
      <c r="H236" s="5">
        <v>3</v>
      </c>
      <c r="I236" s="25">
        <v>43332.196527777778</v>
      </c>
      <c r="J236" s="26">
        <v>43332.196527777778</v>
      </c>
      <c r="K236" s="7">
        <v>2.3347946400000001</v>
      </c>
      <c r="L236" s="7">
        <v>2.5888586063476344</v>
      </c>
      <c r="M236" s="7">
        <v>0.10624745923440918</v>
      </c>
      <c r="N236" s="6">
        <v>1819.2676885908536</v>
      </c>
      <c r="O236" s="6">
        <v>294.8662964985412</v>
      </c>
      <c r="P236" s="67">
        <v>1.0348324</v>
      </c>
      <c r="Q236" s="7">
        <v>7.9175726470702437E-2</v>
      </c>
      <c r="R236" s="67">
        <v>1.8826371484269258</v>
      </c>
      <c r="S236" s="7">
        <v>0.3374266751361113</v>
      </c>
      <c r="T236" s="171">
        <f t="shared" si="6"/>
        <v>1.3311352202292381</v>
      </c>
      <c r="U236" s="171">
        <f t="shared" si="7"/>
        <v>0.29443787690391426</v>
      </c>
    </row>
    <row r="237" spans="1:21" s="42" customFormat="1">
      <c r="A237" s="5">
        <v>398</v>
      </c>
      <c r="B237" s="28">
        <v>314.06099999999998</v>
      </c>
      <c r="C237" s="5" t="s">
        <v>139</v>
      </c>
      <c r="D237" s="5">
        <v>28</v>
      </c>
      <c r="E237" s="5">
        <v>1</v>
      </c>
      <c r="F237" s="24">
        <v>50.024999999999999</v>
      </c>
      <c r="G237" s="24">
        <v>-145.45500000000001</v>
      </c>
      <c r="H237" s="5">
        <v>2</v>
      </c>
      <c r="I237" s="25">
        <v>43332.196527777778</v>
      </c>
      <c r="J237" s="26">
        <v>43332.196527777778</v>
      </c>
      <c r="K237" s="7">
        <v>2.3530298400000005</v>
      </c>
      <c r="L237" s="7">
        <v>2.3197879913007409</v>
      </c>
      <c r="M237" s="7">
        <v>9.9079007973307889E-2</v>
      </c>
      <c r="N237" s="6">
        <v>1966.087026894897</v>
      </c>
      <c r="O237" s="6">
        <v>527.67607102108389</v>
      </c>
      <c r="P237" s="67">
        <v>0.94145730000000005</v>
      </c>
      <c r="Q237" s="7">
        <v>0.13879494592662928</v>
      </c>
      <c r="R237" s="67">
        <v>1.8509869839054973</v>
      </c>
      <c r="S237" s="7">
        <v>0.56679796132509619</v>
      </c>
      <c r="T237" s="171">
        <f t="shared" si="6"/>
        <v>1.3087566919208349</v>
      </c>
      <c r="U237" s="171">
        <f t="shared" si="7"/>
        <v>0.43518792908178211</v>
      </c>
    </row>
    <row r="238" spans="1:21" s="42" customFormat="1">
      <c r="A238" s="5">
        <v>399</v>
      </c>
      <c r="B238" s="28">
        <v>502.62400000000002</v>
      </c>
      <c r="C238" s="5" t="s">
        <v>139</v>
      </c>
      <c r="D238" s="5">
        <v>28</v>
      </c>
      <c r="E238" s="5">
        <v>1</v>
      </c>
      <c r="F238" s="24">
        <v>50.024999999999999</v>
      </c>
      <c r="G238" s="24">
        <v>-145.45500000000001</v>
      </c>
      <c r="H238" s="5">
        <v>1</v>
      </c>
      <c r="I238" s="25">
        <v>43332.196527777778</v>
      </c>
      <c r="J238" s="26">
        <v>43332.196527777778</v>
      </c>
      <c r="K238" s="7">
        <v>2.3648276999999998</v>
      </c>
      <c r="L238" s="7">
        <v>2.454031414677003</v>
      </c>
      <c r="M238" s="7">
        <v>0.10638271950304594</v>
      </c>
      <c r="N238" s="6">
        <v>1724.2079485666973</v>
      </c>
      <c r="O238" s="6">
        <v>601.37470418294208</v>
      </c>
      <c r="P238" s="68">
        <v>0.87680272990205399</v>
      </c>
      <c r="Q238" s="7">
        <v>0.15828163628098546</v>
      </c>
      <c r="R238" s="67">
        <v>1.5117902362221005</v>
      </c>
      <c r="S238" s="7">
        <v>0.59372693924551856</v>
      </c>
      <c r="T238" s="171">
        <f t="shared" si="6"/>
        <v>1.0689246362292466</v>
      </c>
      <c r="U238" s="171">
        <f t="shared" si="7"/>
        <v>0.44207540532104445</v>
      </c>
    </row>
    <row r="239" spans="1:21" s="42" customFormat="1">
      <c r="A239" s="5">
        <v>400</v>
      </c>
      <c r="B239" s="28">
        <v>7.3819999999999997</v>
      </c>
      <c r="C239" s="5" t="s">
        <v>140</v>
      </c>
      <c r="D239" s="5">
        <v>37</v>
      </c>
      <c r="E239" s="5">
        <v>2</v>
      </c>
      <c r="F239" s="24">
        <v>49.99</v>
      </c>
      <c r="G239" s="24">
        <v>-145.059</v>
      </c>
      <c r="H239" s="5">
        <v>13</v>
      </c>
      <c r="I239" s="25">
        <v>43333.456250000003</v>
      </c>
      <c r="J239" s="26">
        <v>43333.456250000003</v>
      </c>
      <c r="K239" s="7">
        <v>2.2219800599999999</v>
      </c>
      <c r="L239" s="7">
        <v>1.2692485328758241</v>
      </c>
      <c r="M239" s="7">
        <v>6.4606996568092448E-2</v>
      </c>
      <c r="N239" s="6">
        <v>410.36446767144582</v>
      </c>
      <c r="O239" s="6">
        <v>27.827793034774473</v>
      </c>
      <c r="P239" s="7">
        <v>5.3045246601367619</v>
      </c>
      <c r="Q239" s="7">
        <v>1.8998610814664527</v>
      </c>
      <c r="R239" s="67">
        <v>2.1767884384070793</v>
      </c>
      <c r="S239" s="7">
        <v>0.79348670110827801</v>
      </c>
      <c r="T239" s="171">
        <f t="shared" si="6"/>
        <v>1.5391174872824605</v>
      </c>
      <c r="U239" s="171">
        <f t="shared" si="7"/>
        <v>0.59545900862013279</v>
      </c>
    </row>
    <row r="240" spans="1:21" s="42" customFormat="1">
      <c r="A240" s="5">
        <v>401</v>
      </c>
      <c r="B240" s="28">
        <v>22.570999999999898</v>
      </c>
      <c r="C240" s="5" t="s">
        <v>140</v>
      </c>
      <c r="D240" s="5">
        <v>37</v>
      </c>
      <c r="E240" s="5">
        <v>2</v>
      </c>
      <c r="F240" s="24">
        <v>49.99</v>
      </c>
      <c r="G240" s="24">
        <v>-145.059</v>
      </c>
      <c r="H240" s="5">
        <v>12</v>
      </c>
      <c r="I240" s="25">
        <v>43333.456250000003</v>
      </c>
      <c r="J240" s="26">
        <v>43333.456250000003</v>
      </c>
      <c r="K240" s="7">
        <v>2.2220036400000001</v>
      </c>
      <c r="L240" s="7">
        <v>1.2447355855761151</v>
      </c>
      <c r="M240" s="7">
        <v>6.2039814048276805E-2</v>
      </c>
      <c r="N240" s="6">
        <v>821.86777005087174</v>
      </c>
      <c r="O240" s="6">
        <v>38.168303334254304</v>
      </c>
      <c r="P240" s="7">
        <v>5.3045246601367619</v>
      </c>
      <c r="Q240" s="7">
        <v>1.8998610814664527</v>
      </c>
      <c r="R240" s="67">
        <v>4.3596178536064594</v>
      </c>
      <c r="S240" s="7">
        <v>1.5745062519663529</v>
      </c>
      <c r="T240" s="171">
        <f t="shared" si="6"/>
        <v>3.0825063005501425</v>
      </c>
      <c r="U240" s="171">
        <f t="shared" si="7"/>
        <v>1.1828031239452788</v>
      </c>
    </row>
    <row r="241" spans="1:21" s="42" customFormat="1">
      <c r="A241" s="5">
        <v>402</v>
      </c>
      <c r="B241" s="28">
        <v>36.664000000000001</v>
      </c>
      <c r="C241" s="5" t="s">
        <v>140</v>
      </c>
      <c r="D241" s="5">
        <v>37</v>
      </c>
      <c r="E241" s="5">
        <v>2</v>
      </c>
      <c r="F241" s="24">
        <v>49.99</v>
      </c>
      <c r="G241" s="24">
        <v>-145.059</v>
      </c>
      <c r="H241" s="5">
        <v>11</v>
      </c>
      <c r="I241" s="25">
        <v>43333.456250000003</v>
      </c>
      <c r="J241" s="26">
        <v>43333.456250000003</v>
      </c>
      <c r="K241" s="7">
        <v>2.2334006400000006</v>
      </c>
      <c r="L241" s="7">
        <v>1.1329553149397851</v>
      </c>
      <c r="M241" s="7">
        <v>5.7057820800276757E-2</v>
      </c>
      <c r="N241" s="6">
        <v>1280.2849229904791</v>
      </c>
      <c r="O241" s="6">
        <v>44.964164067113344</v>
      </c>
      <c r="P241" s="7">
        <v>5.3045246601367619</v>
      </c>
      <c r="Q241" s="7">
        <v>1.8998610814664527</v>
      </c>
      <c r="R241" s="67">
        <v>6.7913029460042917</v>
      </c>
      <c r="S241" s="7">
        <v>2.4440296410003626</v>
      </c>
      <c r="T241" s="171">
        <f t="shared" si="6"/>
        <v>4.8018507178754888</v>
      </c>
      <c r="U241" s="171">
        <f t="shared" si="7"/>
        <v>1.8367546105246402</v>
      </c>
    </row>
    <row r="242" spans="1:21" s="42" customFormat="1">
      <c r="A242" s="5">
        <v>403</v>
      </c>
      <c r="B242" s="28">
        <v>51.54</v>
      </c>
      <c r="C242" s="5" t="s">
        <v>140</v>
      </c>
      <c r="D242" s="5">
        <v>37</v>
      </c>
      <c r="E242" s="5">
        <v>2</v>
      </c>
      <c r="F242" s="24">
        <v>49.99</v>
      </c>
      <c r="G242" s="24">
        <v>-145.059</v>
      </c>
      <c r="H242" s="5">
        <v>10</v>
      </c>
      <c r="I242" s="25">
        <v>43333.456250000003</v>
      </c>
      <c r="J242" s="26">
        <v>43333.456250000003</v>
      </c>
      <c r="K242" s="7">
        <v>2.2395943200000001</v>
      </c>
      <c r="L242" s="7">
        <v>1.3288528214645816</v>
      </c>
      <c r="M242" s="7">
        <v>5.8477666860556582E-2</v>
      </c>
      <c r="N242" s="6">
        <v>1683.0928277596058</v>
      </c>
      <c r="O242" s="6">
        <v>51.872092040654756</v>
      </c>
      <c r="P242" s="67">
        <v>5.1904019999999988</v>
      </c>
      <c r="Q242" s="7">
        <v>1.8278007909562795</v>
      </c>
      <c r="R242" s="67">
        <v>8.7359283793891116</v>
      </c>
      <c r="S242" s="7">
        <v>3.0881174822570485</v>
      </c>
      <c r="T242" s="171">
        <f t="shared" si="6"/>
        <v>6.1768153023653891</v>
      </c>
      <c r="U242" s="171">
        <f t="shared" si="7"/>
        <v>2.3256528514072006</v>
      </c>
    </row>
    <row r="243" spans="1:21" s="42" customFormat="1">
      <c r="A243" s="5">
        <v>404</v>
      </c>
      <c r="B243" s="28">
        <v>67.421000000000006</v>
      </c>
      <c r="C243" s="5" t="s">
        <v>140</v>
      </c>
      <c r="D243" s="5">
        <v>37</v>
      </c>
      <c r="E243" s="5">
        <v>2</v>
      </c>
      <c r="F243" s="24">
        <v>49.99</v>
      </c>
      <c r="G243" s="24">
        <v>-145.059</v>
      </c>
      <c r="H243" s="5">
        <v>9</v>
      </c>
      <c r="I243" s="25">
        <v>43333.456250000003</v>
      </c>
      <c r="J243" s="26">
        <v>43333.456250000003</v>
      </c>
      <c r="K243" s="7">
        <v>2.2437601200000001</v>
      </c>
      <c r="L243" s="7">
        <v>1.5802827529585595</v>
      </c>
      <c r="M243" s="7">
        <v>6.8456646281120026E-2</v>
      </c>
      <c r="N243" s="6">
        <v>1977.8559839628433</v>
      </c>
      <c r="O243" s="6">
        <v>60.13051776103751</v>
      </c>
      <c r="P243" s="67">
        <v>4.0199722999999983</v>
      </c>
      <c r="Q243" s="7">
        <v>1.1660786352446848</v>
      </c>
      <c r="R243" s="67">
        <v>7.9509262689198712</v>
      </c>
      <c r="S243" s="7">
        <v>2.3189682934708222</v>
      </c>
      <c r="T243" s="171">
        <f t="shared" si="6"/>
        <v>5.6217726282776015</v>
      </c>
      <c r="U243" s="171">
        <f t="shared" si="7"/>
        <v>1.7942907796036736</v>
      </c>
    </row>
    <row r="244" spans="1:21" s="42" customFormat="1">
      <c r="A244" s="5">
        <v>405</v>
      </c>
      <c r="B244" s="28">
        <v>82.435000000000002</v>
      </c>
      <c r="C244" s="5" t="s">
        <v>140</v>
      </c>
      <c r="D244" s="5">
        <v>37</v>
      </c>
      <c r="E244" s="5">
        <v>2</v>
      </c>
      <c r="F244" s="24">
        <v>49.99</v>
      </c>
      <c r="G244" s="24">
        <v>-145.059</v>
      </c>
      <c r="H244" s="5">
        <v>8</v>
      </c>
      <c r="I244" s="25">
        <v>43333.456250000003</v>
      </c>
      <c r="J244" s="26">
        <v>43333.456250000003</v>
      </c>
      <c r="K244" s="7">
        <v>2.2459845000000005</v>
      </c>
      <c r="L244" s="7">
        <v>2.0865701684986324</v>
      </c>
      <c r="M244" s="7">
        <v>8.7438448917000797E-2</v>
      </c>
      <c r="N244" s="6">
        <v>2047.6543119555047</v>
      </c>
      <c r="O244" s="6">
        <v>71.283677540666915</v>
      </c>
      <c r="P244" s="67">
        <v>2.9134404999999992</v>
      </c>
      <c r="Q244" s="7">
        <v>0.67411648069319208</v>
      </c>
      <c r="R244" s="67">
        <v>5.9657190024507996</v>
      </c>
      <c r="S244" s="7">
        <v>1.3958933247097338</v>
      </c>
      <c r="T244" s="171">
        <f t="shared" si="6"/>
        <v>4.2181143003517709</v>
      </c>
      <c r="U244" s="171">
        <f t="shared" si="7"/>
        <v>1.128312131719879</v>
      </c>
    </row>
    <row r="245" spans="1:21" s="42" customFormat="1">
      <c r="A245" s="5">
        <v>406</v>
      </c>
      <c r="B245" s="28">
        <v>97.869</v>
      </c>
      <c r="C245" s="5" t="s">
        <v>140</v>
      </c>
      <c r="D245" s="5">
        <v>37</v>
      </c>
      <c r="E245" s="5">
        <v>2</v>
      </c>
      <c r="F245" s="24">
        <v>49.99</v>
      </c>
      <c r="G245" s="24">
        <v>-145.059</v>
      </c>
      <c r="H245" s="5">
        <v>7</v>
      </c>
      <c r="I245" s="25">
        <v>43333.456250000003</v>
      </c>
      <c r="J245" s="26">
        <v>43333.456250000003</v>
      </c>
      <c r="K245" s="7">
        <v>2.2540488600000002</v>
      </c>
      <c r="L245" s="7">
        <v>2.1232997250456593</v>
      </c>
      <c r="M245" s="7">
        <v>7.9901350996951503E-2</v>
      </c>
      <c r="N245" s="6">
        <v>2107.5227666315127</v>
      </c>
      <c r="O245" s="6">
        <v>80.124205576534379</v>
      </c>
      <c r="P245" s="67">
        <v>1.7759546999999989</v>
      </c>
      <c r="Q245" s="7">
        <v>0.30377719173542106</v>
      </c>
      <c r="R245" s="67">
        <v>3.742864962756236</v>
      </c>
      <c r="S245" s="7">
        <v>0.65584043547244542</v>
      </c>
      <c r="T245" s="171">
        <f t="shared" si="6"/>
        <v>2.6464257229014341</v>
      </c>
      <c r="U245" s="171">
        <f t="shared" si="7"/>
        <v>0.57681264911514551</v>
      </c>
    </row>
    <row r="246" spans="1:21" s="42" customFormat="1">
      <c r="A246" s="5">
        <v>407</v>
      </c>
      <c r="B246" s="28">
        <v>114.277</v>
      </c>
      <c r="C246" s="5" t="s">
        <v>140</v>
      </c>
      <c r="D246" s="5">
        <v>37</v>
      </c>
      <c r="E246" s="5">
        <v>2</v>
      </c>
      <c r="F246" s="24">
        <v>49.99</v>
      </c>
      <c r="G246" s="24">
        <v>-145.059</v>
      </c>
      <c r="H246" s="5">
        <v>6</v>
      </c>
      <c r="I246" s="25">
        <v>43333.456250000003</v>
      </c>
      <c r="J246" s="26">
        <v>43333.456250000003</v>
      </c>
      <c r="K246" s="7">
        <v>2.2720796999999999</v>
      </c>
      <c r="L246" s="7">
        <v>2.1369187456618324</v>
      </c>
      <c r="M246" s="7">
        <v>8.2670649743602609E-2</v>
      </c>
      <c r="N246" s="6">
        <v>2169.9186236756723</v>
      </c>
      <c r="O246" s="6">
        <v>88.749041794532005</v>
      </c>
      <c r="P246" s="67">
        <v>1.4723023000000002</v>
      </c>
      <c r="Q246" s="7">
        <v>0.27939802567847871</v>
      </c>
      <c r="R246" s="67">
        <v>3.194776180450527</v>
      </c>
      <c r="S246" s="7">
        <v>0.62019186703936269</v>
      </c>
      <c r="T246" s="171">
        <f t="shared" si="6"/>
        <v>2.2588947095304825</v>
      </c>
      <c r="U246" s="171">
        <f t="shared" si="7"/>
        <v>0.52728577346092131</v>
      </c>
    </row>
    <row r="247" spans="1:21" s="42" customFormat="1">
      <c r="A247" s="5">
        <v>408</v>
      </c>
      <c r="B247" s="28">
        <v>129.97200000000001</v>
      </c>
      <c r="C247" s="5" t="s">
        <v>140</v>
      </c>
      <c r="D247" s="5">
        <v>37</v>
      </c>
      <c r="E247" s="5">
        <v>2</v>
      </c>
      <c r="F247" s="24">
        <v>49.99</v>
      </c>
      <c r="G247" s="24">
        <v>-145.059</v>
      </c>
      <c r="H247" s="5">
        <v>5</v>
      </c>
      <c r="I247" s="25">
        <v>43333.456250000003</v>
      </c>
      <c r="J247" s="26">
        <v>43333.456250000003</v>
      </c>
      <c r="K247" s="7">
        <v>2.2966029000000003</v>
      </c>
      <c r="L247" s="7">
        <v>2.3223448801342386</v>
      </c>
      <c r="M247" s="7">
        <v>8.8186682955425588E-2</v>
      </c>
      <c r="N247" s="6">
        <v>2157.232538766697</v>
      </c>
      <c r="O247" s="6">
        <v>98.818798175721781</v>
      </c>
      <c r="P247" s="67">
        <v>1.3137828</v>
      </c>
      <c r="Q247" s="7">
        <v>0.28843166486159527</v>
      </c>
      <c r="R247" s="67">
        <v>2.83413500503202</v>
      </c>
      <c r="S247" s="7">
        <v>0.63561417580494695</v>
      </c>
      <c r="T247" s="171">
        <f t="shared" si="6"/>
        <v>2.0039001818459679</v>
      </c>
      <c r="U247" s="171">
        <f t="shared" si="7"/>
        <v>0.51908415900538052</v>
      </c>
    </row>
    <row r="248" spans="1:21" s="42" customFormat="1">
      <c r="A248" s="5">
        <v>409</v>
      </c>
      <c r="B248" s="28">
        <v>148.548</v>
      </c>
      <c r="C248" s="5" t="s">
        <v>140</v>
      </c>
      <c r="D248" s="5">
        <v>37</v>
      </c>
      <c r="E248" s="5">
        <v>2</v>
      </c>
      <c r="F248" s="24">
        <v>49.99</v>
      </c>
      <c r="G248" s="24">
        <v>-145.059</v>
      </c>
      <c r="H248" s="5">
        <v>4</v>
      </c>
      <c r="I248" s="25">
        <v>43333.456250000003</v>
      </c>
      <c r="J248" s="26">
        <v>43333.456250000003</v>
      </c>
      <c r="K248" s="7">
        <v>2.3170467600000002</v>
      </c>
      <c r="L248" s="7">
        <v>2.3905807035190518</v>
      </c>
      <c r="M248" s="7">
        <v>9.7127597165661508E-2</v>
      </c>
      <c r="N248" s="6">
        <v>2084.714804933501</v>
      </c>
      <c r="O248" s="6">
        <v>137.62261739539625</v>
      </c>
      <c r="P248" s="67">
        <v>1.1261652000000002</v>
      </c>
      <c r="Q248" s="7">
        <v>0.28692612196905126</v>
      </c>
      <c r="R248" s="67">
        <v>2.3477332652408975</v>
      </c>
      <c r="S248" s="7">
        <v>0.61791176474843379</v>
      </c>
      <c r="T248" s="171">
        <f t="shared" si="6"/>
        <v>1.6599855366060481</v>
      </c>
      <c r="U248" s="171">
        <f t="shared" si="7"/>
        <v>0.48701356678591046</v>
      </c>
    </row>
    <row r="249" spans="1:21" s="42" customFormat="1">
      <c r="A249" s="5">
        <v>410</v>
      </c>
      <c r="B249" s="28">
        <v>198.55199999999999</v>
      </c>
      <c r="C249" s="5" t="s">
        <v>140</v>
      </c>
      <c r="D249" s="5">
        <v>37</v>
      </c>
      <c r="E249" s="5">
        <v>2</v>
      </c>
      <c r="F249" s="24">
        <v>49.99</v>
      </c>
      <c r="G249" s="24">
        <v>-145.059</v>
      </c>
      <c r="H249" s="5">
        <v>3</v>
      </c>
      <c r="I249" s="25">
        <v>43333.456250000003</v>
      </c>
      <c r="J249" s="26">
        <v>43333.456250000003</v>
      </c>
      <c r="K249" s="7">
        <v>2.3364924000000005</v>
      </c>
      <c r="L249" s="7">
        <v>1.9428304507117016</v>
      </c>
      <c r="M249" s="7">
        <v>7.9055207569910163E-2</v>
      </c>
      <c r="N249" s="6">
        <v>3130.4848827526712</v>
      </c>
      <c r="O249" s="6">
        <v>251.08733808088837</v>
      </c>
      <c r="P249" s="67">
        <v>1.0293064000000001</v>
      </c>
      <c r="Q249" s="7">
        <v>6.6169925354790549E-2</v>
      </c>
      <c r="R249" s="67">
        <v>3.2222281249205742</v>
      </c>
      <c r="S249" s="7">
        <v>0.33121420572089832</v>
      </c>
      <c r="T249" s="171">
        <f t="shared" si="6"/>
        <v>2.2783048492796056</v>
      </c>
      <c r="U249" s="171">
        <f t="shared" si="7"/>
        <v>0.37691000455424239</v>
      </c>
    </row>
    <row r="250" spans="1:21" s="42" customFormat="1">
      <c r="A250" s="5">
        <v>411</v>
      </c>
      <c r="B250" s="28">
        <v>333.28500000000003</v>
      </c>
      <c r="C250" s="5" t="s">
        <v>140</v>
      </c>
      <c r="D250" s="5">
        <v>37</v>
      </c>
      <c r="E250" s="5">
        <v>2</v>
      </c>
      <c r="F250" s="24">
        <v>49.99</v>
      </c>
      <c r="G250" s="24">
        <v>-145.059</v>
      </c>
      <c r="H250" s="5">
        <v>2</v>
      </c>
      <c r="I250" s="25">
        <v>43333.456250000003</v>
      </c>
      <c r="J250" s="26">
        <v>43333.456250000003</v>
      </c>
      <c r="K250" s="7">
        <v>2.3523931800000004</v>
      </c>
      <c r="L250" s="7">
        <v>1.9720551290185602</v>
      </c>
      <c r="M250" s="7">
        <v>7.9063106589792626E-2</v>
      </c>
      <c r="N250" s="6">
        <v>4793.0801175061533</v>
      </c>
      <c r="O250" s="6">
        <v>427.19258545394229</v>
      </c>
      <c r="P250" s="67">
        <v>0.92868600000000001</v>
      </c>
      <c r="Q250" s="7">
        <v>0.14906105421471</v>
      </c>
      <c r="R250" s="67">
        <v>4.4512664020063193</v>
      </c>
      <c r="S250" s="7">
        <v>0.81721984111309731</v>
      </c>
      <c r="T250" s="171">
        <f t="shared" si="6"/>
        <v>3.1473072159893571</v>
      </c>
      <c r="U250" s="171">
        <f t="shared" si="7"/>
        <v>0.70733189741739111</v>
      </c>
    </row>
    <row r="251" spans="1:21" s="42" customFormat="1">
      <c r="A251" s="5">
        <v>412</v>
      </c>
      <c r="B251" s="28">
        <v>502.541</v>
      </c>
      <c r="C251" s="5" t="s">
        <v>140</v>
      </c>
      <c r="D251" s="5">
        <v>37</v>
      </c>
      <c r="E251" s="5">
        <v>2</v>
      </c>
      <c r="F251" s="24">
        <v>49.99</v>
      </c>
      <c r="G251" s="24">
        <v>-145.059</v>
      </c>
      <c r="H251" s="5">
        <v>1</v>
      </c>
      <c r="I251" s="25">
        <v>43333.456250000003</v>
      </c>
      <c r="J251" s="26">
        <v>43333.456250000003</v>
      </c>
      <c r="K251" s="7">
        <v>2.3648827200000002</v>
      </c>
      <c r="L251" s="7">
        <v>2.2539057127114397</v>
      </c>
      <c r="M251" s="7">
        <v>9.18009735041493E-2</v>
      </c>
      <c r="N251" s="6">
        <v>5063.1871975963495</v>
      </c>
      <c r="O251" s="6">
        <v>482.09592815959826</v>
      </c>
      <c r="P251" s="68">
        <v>0.87680272990205399</v>
      </c>
      <c r="Q251" s="7">
        <v>0.15828163628098546</v>
      </c>
      <c r="R251" s="67">
        <v>4.4394163568576097</v>
      </c>
      <c r="S251" s="7">
        <v>0.90605470145461597</v>
      </c>
      <c r="T251" s="171">
        <f t="shared" si="6"/>
        <v>3.1389285369263553</v>
      </c>
      <c r="U251" s="171">
        <f t="shared" si="7"/>
        <v>0.75892453929598702</v>
      </c>
    </row>
    <row r="252" spans="1:21" s="42" customFormat="1">
      <c r="A252" s="5">
        <v>413</v>
      </c>
      <c r="B252" s="28">
        <v>8.3109999999999999</v>
      </c>
      <c r="C252" s="5" t="s">
        <v>141</v>
      </c>
      <c r="D252" s="5">
        <v>38</v>
      </c>
      <c r="E252" s="5">
        <v>2</v>
      </c>
      <c r="F252" s="24">
        <v>49.936</v>
      </c>
      <c r="G252" s="24">
        <v>-144.82599999999999</v>
      </c>
      <c r="H252" s="5">
        <v>13</v>
      </c>
      <c r="I252" s="25">
        <v>43333.543055555558</v>
      </c>
      <c r="J252" s="26">
        <v>43333.543055555558</v>
      </c>
      <c r="K252" s="7">
        <v>2.2231119000000001</v>
      </c>
      <c r="L252" s="7">
        <v>1.0608234334394757</v>
      </c>
      <c r="M252" s="7">
        <v>5.3778056170581311E-2</v>
      </c>
      <c r="N252" s="6">
        <v>507.82930840348018</v>
      </c>
      <c r="O252" s="6">
        <v>23.496811555918228</v>
      </c>
      <c r="P252" s="7">
        <v>5.3045246601367619</v>
      </c>
      <c r="Q252" s="7">
        <v>1.8998610814664527</v>
      </c>
      <c r="R252" s="67">
        <v>2.6937930895664577</v>
      </c>
      <c r="S252" s="7">
        <v>0.97282266650594207</v>
      </c>
      <c r="T252" s="171">
        <f t="shared" si="6"/>
        <v>1.9046701912411714</v>
      </c>
      <c r="U252" s="171">
        <f t="shared" si="7"/>
        <v>0.73081050438920536</v>
      </c>
    </row>
    <row r="253" spans="1:21" s="42" customFormat="1">
      <c r="A253" s="5">
        <v>414</v>
      </c>
      <c r="B253" s="28">
        <v>22.073</v>
      </c>
      <c r="C253" s="5" t="s">
        <v>141</v>
      </c>
      <c r="D253" s="5">
        <v>38</v>
      </c>
      <c r="E253" s="5">
        <v>2</v>
      </c>
      <c r="F253" s="24">
        <v>49.936</v>
      </c>
      <c r="G253" s="24">
        <v>-144.82599999999999</v>
      </c>
      <c r="H253" s="5">
        <v>12</v>
      </c>
      <c r="I253" s="25">
        <v>43333.543055555558</v>
      </c>
      <c r="J253" s="26">
        <v>43333.543055555558</v>
      </c>
      <c r="K253" s="7">
        <v>2.2231512000000002</v>
      </c>
      <c r="L253" s="7">
        <v>1.6543263351685809</v>
      </c>
      <c r="M253" s="7">
        <v>6.7860840120257865E-2</v>
      </c>
      <c r="N253" s="6">
        <v>744.64802786077735</v>
      </c>
      <c r="O253" s="6">
        <v>36.746471814835346</v>
      </c>
      <c r="P253" s="7">
        <v>5.3045246601367619</v>
      </c>
      <c r="Q253" s="7">
        <v>1.8998610814664527</v>
      </c>
      <c r="R253" s="67">
        <v>3.9500038269097</v>
      </c>
      <c r="S253" s="7">
        <v>1.4280929857971041</v>
      </c>
      <c r="T253" s="171">
        <f t="shared" si="6"/>
        <v>2.7928850859196062</v>
      </c>
      <c r="U253" s="171">
        <f t="shared" si="7"/>
        <v>1.0726839229032787</v>
      </c>
    </row>
    <row r="254" spans="1:21" s="42" customFormat="1">
      <c r="A254" s="5">
        <v>415</v>
      </c>
      <c r="B254" s="28">
        <v>37.262999999999998</v>
      </c>
      <c r="C254" s="5" t="s">
        <v>141</v>
      </c>
      <c r="D254" s="5">
        <v>38</v>
      </c>
      <c r="E254" s="5">
        <v>2</v>
      </c>
      <c r="F254" s="24">
        <v>49.936</v>
      </c>
      <c r="G254" s="24">
        <v>-144.82599999999999</v>
      </c>
      <c r="H254" s="5">
        <v>11</v>
      </c>
      <c r="I254" s="25">
        <v>43333.543055555558</v>
      </c>
      <c r="J254" s="26">
        <v>43333.543055555558</v>
      </c>
      <c r="K254" s="7">
        <v>2.2354206599999999</v>
      </c>
      <c r="L254" s="7">
        <v>1.5643501692795543</v>
      </c>
      <c r="M254" s="7">
        <v>6.5083773627090891E-2</v>
      </c>
      <c r="N254" s="6">
        <v>1044.8786305036722</v>
      </c>
      <c r="O254" s="6">
        <v>46.884467653502256</v>
      </c>
      <c r="P254" s="7">
        <v>5.3045246601367619</v>
      </c>
      <c r="Q254" s="7">
        <v>1.8998610814664527</v>
      </c>
      <c r="R254" s="67">
        <v>5.5425844623566576</v>
      </c>
      <c r="S254" s="7">
        <v>2.0006423632903538</v>
      </c>
      <c r="T254" s="171">
        <f t="shared" si="6"/>
        <v>3.9189332873321105</v>
      </c>
      <c r="U254" s="171">
        <f t="shared" si="7"/>
        <v>1.5030201475950424</v>
      </c>
    </row>
    <row r="255" spans="1:21" s="42" customFormat="1">
      <c r="A255" s="5">
        <v>416</v>
      </c>
      <c r="B255" s="28">
        <v>53.185000000000002</v>
      </c>
      <c r="C255" s="5" t="s">
        <v>141</v>
      </c>
      <c r="D255" s="5">
        <v>38</v>
      </c>
      <c r="E255" s="5">
        <v>2</v>
      </c>
      <c r="F255" s="24">
        <v>49.936</v>
      </c>
      <c r="G255" s="24">
        <v>-144.82599999999999</v>
      </c>
      <c r="H255" s="5">
        <v>10</v>
      </c>
      <c r="I255" s="25">
        <v>43333.543055555558</v>
      </c>
      <c r="J255" s="26">
        <v>43333.543055555558</v>
      </c>
      <c r="K255" s="7">
        <v>2.2396100400000001</v>
      </c>
      <c r="L255" s="7">
        <v>1.6073502875028507</v>
      </c>
      <c r="M255" s="7">
        <v>6.7093920413007088E-2</v>
      </c>
      <c r="N255" s="6">
        <v>1323.1633600374153</v>
      </c>
      <c r="O255" s="6">
        <v>55.409644169568239</v>
      </c>
      <c r="P255" s="67">
        <v>5.0691654999999987</v>
      </c>
      <c r="Q255" s="7">
        <v>1.7525110602476921</v>
      </c>
      <c r="R255" s="67">
        <v>6.7073340555657426</v>
      </c>
      <c r="S255" s="7">
        <v>2.3358078536285842</v>
      </c>
      <c r="T255" s="171">
        <f t="shared" si="6"/>
        <v>4.7424797724122492</v>
      </c>
      <c r="U255" s="171">
        <f t="shared" si="7"/>
        <v>1.7622542283549743</v>
      </c>
    </row>
    <row r="256" spans="1:21" s="42" customFormat="1">
      <c r="A256" s="5">
        <v>417</v>
      </c>
      <c r="B256" s="28">
        <v>67.870999999999995</v>
      </c>
      <c r="C256" s="5" t="s">
        <v>141</v>
      </c>
      <c r="D256" s="5">
        <v>38</v>
      </c>
      <c r="E256" s="5">
        <v>2</v>
      </c>
      <c r="F256" s="24">
        <v>49.936</v>
      </c>
      <c r="G256" s="24">
        <v>-144.82599999999999</v>
      </c>
      <c r="H256" s="5">
        <v>9</v>
      </c>
      <c r="I256" s="25">
        <v>43333.543055555558</v>
      </c>
      <c r="J256" s="26">
        <v>43333.543055555558</v>
      </c>
      <c r="K256" s="7">
        <v>2.2435243200000001</v>
      </c>
      <c r="L256" s="7">
        <v>1.985477329084224</v>
      </c>
      <c r="M256" s="7">
        <v>7.5866259470977207E-2</v>
      </c>
      <c r="N256" s="6">
        <v>1430.1173195050137</v>
      </c>
      <c r="O256" s="6">
        <v>63.710239094440134</v>
      </c>
      <c r="P256" s="67">
        <v>3.9868072999999997</v>
      </c>
      <c r="Q256" s="7">
        <v>1.1494454268343053</v>
      </c>
      <c r="R256" s="67">
        <v>5.7016021692590204</v>
      </c>
      <c r="S256" s="7">
        <v>1.66334967221008</v>
      </c>
      <c r="T256" s="171">
        <f t="shared" si="6"/>
        <v>4.031368161186955</v>
      </c>
      <c r="U256" s="171">
        <f t="shared" si="7"/>
        <v>1.2869554217947183</v>
      </c>
    </row>
    <row r="257" spans="1:21" s="42" customFormat="1">
      <c r="A257" s="5">
        <v>418</v>
      </c>
      <c r="B257" s="28">
        <v>82.007999999999996</v>
      </c>
      <c r="C257" s="5" t="s">
        <v>141</v>
      </c>
      <c r="D257" s="5">
        <v>38</v>
      </c>
      <c r="E257" s="5">
        <v>2</v>
      </c>
      <c r="F257" s="24">
        <v>49.936</v>
      </c>
      <c r="G257" s="24">
        <v>-144.82599999999999</v>
      </c>
      <c r="H257" s="5">
        <v>8</v>
      </c>
      <c r="I257" s="25">
        <v>43333.543055555558</v>
      </c>
      <c r="J257" s="26">
        <v>43333.543055555558</v>
      </c>
      <c r="K257" s="7">
        <v>2.2503153600000001</v>
      </c>
      <c r="L257" s="7">
        <v>2.1477876906577462</v>
      </c>
      <c r="M257" s="7">
        <v>8.3055963508019706E-2</v>
      </c>
      <c r="N257" s="6">
        <v>1473.9644256091253</v>
      </c>
      <c r="O257" s="6">
        <v>72.942797331314623</v>
      </c>
      <c r="P257" s="67">
        <v>2.9449103999999995</v>
      </c>
      <c r="Q257" s="7">
        <v>0.68631351261477125</v>
      </c>
      <c r="R257" s="67">
        <v>4.3406931662063393</v>
      </c>
      <c r="S257" s="7">
        <v>1.0341573098307095</v>
      </c>
      <c r="T257" s="171">
        <f t="shared" si="6"/>
        <v>3.0691254332113793</v>
      </c>
      <c r="U257" s="171">
        <f t="shared" si="7"/>
        <v>0.83243102952215364</v>
      </c>
    </row>
    <row r="258" spans="1:21" s="42" customFormat="1">
      <c r="A258" s="5">
        <v>419</v>
      </c>
      <c r="B258" s="28">
        <v>97.611000000000004</v>
      </c>
      <c r="C258" s="5" t="s">
        <v>141</v>
      </c>
      <c r="D258" s="5">
        <v>38</v>
      </c>
      <c r="E258" s="5">
        <v>2</v>
      </c>
      <c r="F258" s="24">
        <v>49.936</v>
      </c>
      <c r="G258" s="24">
        <v>-144.82599999999999</v>
      </c>
      <c r="H258" s="5">
        <v>7</v>
      </c>
      <c r="I258" s="25">
        <v>43333.543055555558</v>
      </c>
      <c r="J258" s="26">
        <v>43333.543055555558</v>
      </c>
      <c r="K258" s="7">
        <v>2.25723216</v>
      </c>
      <c r="L258" s="7">
        <v>2.1817853506632741</v>
      </c>
      <c r="M258" s="7">
        <v>8.8604616592036667E-2</v>
      </c>
      <c r="N258" s="6">
        <v>1507.5450278695744</v>
      </c>
      <c r="O258" s="6">
        <v>82.921223132208567</v>
      </c>
      <c r="P258" s="67">
        <v>1.7949692999999991</v>
      </c>
      <c r="Q258" s="7">
        <v>0.30883990659594907</v>
      </c>
      <c r="R258" s="67">
        <v>2.7059970433935292</v>
      </c>
      <c r="S258" s="7">
        <v>0.48880238062000669</v>
      </c>
      <c r="T258" s="171">
        <f t="shared" si="6"/>
        <v>1.9132991045603631</v>
      </c>
      <c r="U258" s="171">
        <f t="shared" si="7"/>
        <v>0.42539092881775104</v>
      </c>
    </row>
    <row r="259" spans="1:21" s="42" customFormat="1">
      <c r="A259" s="5">
        <v>420</v>
      </c>
      <c r="B259" s="28">
        <v>112.96</v>
      </c>
      <c r="C259" s="5" t="s">
        <v>141</v>
      </c>
      <c r="D259" s="5">
        <v>38</v>
      </c>
      <c r="E259" s="5">
        <v>2</v>
      </c>
      <c r="F259" s="24">
        <v>49.936</v>
      </c>
      <c r="G259" s="24">
        <v>-144.82599999999999</v>
      </c>
      <c r="H259" s="5">
        <v>6</v>
      </c>
      <c r="I259" s="25">
        <v>43333.543055555558</v>
      </c>
      <c r="J259" s="26">
        <v>43333.543055555558</v>
      </c>
      <c r="K259" s="7">
        <v>2.28419982</v>
      </c>
      <c r="L259" s="7">
        <v>2.6268896985325219</v>
      </c>
      <c r="M259" s="7">
        <v>9.4354870936011748E-2</v>
      </c>
      <c r="N259" s="6">
        <v>1359.1911868230482</v>
      </c>
      <c r="O259" s="6">
        <v>92.436029454396788</v>
      </c>
      <c r="P259" s="67">
        <v>1.4856040000000001</v>
      </c>
      <c r="Q259" s="7">
        <v>0.27821072495648008</v>
      </c>
      <c r="R259" s="67">
        <v>2.0192198639090679</v>
      </c>
      <c r="S259" s="7">
        <v>0.4023042901551126</v>
      </c>
      <c r="T259" s="171">
        <f t="shared" si="6"/>
        <v>1.4277072352905278</v>
      </c>
      <c r="U259" s="171">
        <f t="shared" si="7"/>
        <v>0.33935686813203192</v>
      </c>
    </row>
    <row r="260" spans="1:21" s="42" customFormat="1">
      <c r="A260" s="5">
        <v>421</v>
      </c>
      <c r="B260" s="28">
        <v>127.71599999999999</v>
      </c>
      <c r="C260" s="5" t="s">
        <v>141</v>
      </c>
      <c r="D260" s="5">
        <v>38</v>
      </c>
      <c r="E260" s="5">
        <v>2</v>
      </c>
      <c r="F260" s="24">
        <v>49.936</v>
      </c>
      <c r="G260" s="24">
        <v>-144.82599999999999</v>
      </c>
      <c r="H260" s="5">
        <v>5</v>
      </c>
      <c r="I260" s="25">
        <v>43333.543055555558</v>
      </c>
      <c r="J260" s="26">
        <v>43333.543055555558</v>
      </c>
      <c r="K260" s="7">
        <v>2.3043135599999998</v>
      </c>
      <c r="L260" s="7">
        <v>2.5831877426634597</v>
      </c>
      <c r="M260" s="7">
        <v>9.6709375829016883E-2</v>
      </c>
      <c r="N260" s="6">
        <v>1221.9136525419945</v>
      </c>
      <c r="O260" s="6">
        <v>103.9746622991339</v>
      </c>
      <c r="P260" s="67">
        <v>1.3365684000000002</v>
      </c>
      <c r="Q260" s="7">
        <v>0.2877140603044368</v>
      </c>
      <c r="R260" s="67">
        <v>1.6331711755162097</v>
      </c>
      <c r="S260" s="7">
        <v>0.37803188720595809</v>
      </c>
      <c r="T260" s="171">
        <f t="shared" si="6"/>
        <v>1.1547481011990643</v>
      </c>
      <c r="U260" s="171">
        <f t="shared" si="7"/>
        <v>0.30634909653826115</v>
      </c>
    </row>
    <row r="261" spans="1:21" s="42" customFormat="1">
      <c r="A261" s="5">
        <v>422</v>
      </c>
      <c r="B261" s="28">
        <v>147.19200000000001</v>
      </c>
      <c r="C261" s="5" t="s">
        <v>141</v>
      </c>
      <c r="D261" s="5">
        <v>38</v>
      </c>
      <c r="E261" s="5">
        <v>2</v>
      </c>
      <c r="F261" s="24">
        <v>49.936</v>
      </c>
      <c r="G261" s="24">
        <v>-144.82599999999999</v>
      </c>
      <c r="H261" s="5">
        <v>4</v>
      </c>
      <c r="I261" s="25">
        <v>43333.543055555558</v>
      </c>
      <c r="J261" s="26">
        <v>43333.543055555558</v>
      </c>
      <c r="K261" s="7">
        <v>2.3253233400000002</v>
      </c>
      <c r="L261" s="7">
        <v>2.1151436559002423</v>
      </c>
      <c r="M261" s="7">
        <v>8.2641842208769647E-2</v>
      </c>
      <c r="N261" s="6">
        <v>1432.4952254193133</v>
      </c>
      <c r="O261" s="6">
        <v>132.91556630948071</v>
      </c>
      <c r="P261" s="67">
        <v>1.1398608000000001</v>
      </c>
      <c r="Q261" s="7">
        <v>0.28748340783601928</v>
      </c>
      <c r="R261" s="67">
        <v>1.6328451536426389</v>
      </c>
      <c r="S261" s="7">
        <v>0.43880337930988622</v>
      </c>
      <c r="T261" s="171">
        <f t="shared" si="6"/>
        <v>1.1545175845544533</v>
      </c>
      <c r="U261" s="171">
        <f t="shared" si="7"/>
        <v>0.34446713534182499</v>
      </c>
    </row>
    <row r="262" spans="1:21" s="42" customFormat="1">
      <c r="A262" s="5">
        <v>423</v>
      </c>
      <c r="B262" s="28">
        <v>197.39</v>
      </c>
      <c r="C262" s="5" t="s">
        <v>141</v>
      </c>
      <c r="D262" s="5">
        <v>38</v>
      </c>
      <c r="E262" s="5">
        <v>2</v>
      </c>
      <c r="F262" s="24">
        <v>49.936</v>
      </c>
      <c r="G262" s="24">
        <v>-144.82599999999999</v>
      </c>
      <c r="H262" s="5">
        <v>3</v>
      </c>
      <c r="I262" s="25">
        <v>43333.543055555558</v>
      </c>
      <c r="J262" s="26">
        <v>43333.543055555558</v>
      </c>
      <c r="K262" s="7">
        <v>2.3370190200000001</v>
      </c>
      <c r="L262" s="7">
        <v>2.6577397475716245</v>
      </c>
      <c r="M262" s="7">
        <v>9.4026974664134302E-2</v>
      </c>
      <c r="N262" s="6">
        <v>-210.34632916886085</v>
      </c>
      <c r="O262" s="6">
        <v>499.64197742077954</v>
      </c>
      <c r="P262" s="67">
        <v>1.031398</v>
      </c>
      <c r="Q262" s="7">
        <v>7.1076751001960106E-2</v>
      </c>
      <c r="R262" s="67">
        <v>-0.21695078321210473</v>
      </c>
      <c r="S262" s="7">
        <v>-0.51554656577044489</v>
      </c>
      <c r="T262" s="171">
        <f t="shared" si="6"/>
        <v>-0.15339696703172756</v>
      </c>
      <c r="U262" s="171">
        <f t="shared" si="7"/>
        <v>-0.36506367245343257</v>
      </c>
    </row>
    <row r="263" spans="1:21" s="42" customFormat="1">
      <c r="A263" s="5">
        <v>425</v>
      </c>
      <c r="B263" s="28">
        <v>503.40499999999997</v>
      </c>
      <c r="C263" s="5" t="s">
        <v>141</v>
      </c>
      <c r="D263" s="5">
        <v>38</v>
      </c>
      <c r="E263" s="5">
        <v>2</v>
      </c>
      <c r="F263" s="24">
        <v>49.936</v>
      </c>
      <c r="G263" s="24">
        <v>-144.82599999999999</v>
      </c>
      <c r="H263" s="5">
        <v>1</v>
      </c>
      <c r="I263" s="25">
        <v>43333.543055555558</v>
      </c>
      <c r="J263" s="26">
        <v>43333.543055555558</v>
      </c>
      <c r="K263" s="7">
        <v>2.3645761799999998</v>
      </c>
      <c r="L263" s="7">
        <v>2.3188714383771822</v>
      </c>
      <c r="M263" s="7">
        <v>8.8524493045770147E-2</v>
      </c>
      <c r="N263" s="6">
        <v>-9.2228101880389204</v>
      </c>
      <c r="O263" s="6">
        <v>513.60714601181985</v>
      </c>
      <c r="P263" s="68">
        <v>0.87680272990205399</v>
      </c>
      <c r="Q263" s="7">
        <v>0.15828163628098546</v>
      </c>
      <c r="R263" s="67">
        <v>-8.0865851502410005E-3</v>
      </c>
      <c r="S263" s="7">
        <v>-0.45033451376817807</v>
      </c>
      <c r="T263" s="171">
        <f t="shared" ref="T263:T326" si="8">R263*U$1</f>
        <v>-5.717691438237524E-3</v>
      </c>
      <c r="U263" s="171">
        <f t="shared" ref="U263:U326" si="9">((((S263/R263)^2+(V$1/U$1)^2))^0.5)*T263</f>
        <v>-0.31841385717042936</v>
      </c>
    </row>
    <row r="264" spans="1:21" s="42" customFormat="1">
      <c r="A264" s="5">
        <v>436</v>
      </c>
      <c r="B264" s="28">
        <v>4.9539999999999997</v>
      </c>
      <c r="C264" s="5" t="s">
        <v>142</v>
      </c>
      <c r="D264" s="5">
        <v>39</v>
      </c>
      <c r="E264" s="5">
        <v>2</v>
      </c>
      <c r="F264" s="24">
        <v>50.098999999999997</v>
      </c>
      <c r="G264" s="24">
        <v>-144.94399999999999</v>
      </c>
      <c r="H264" s="5">
        <v>23</v>
      </c>
      <c r="I264" s="25">
        <v>43333.686805555553</v>
      </c>
      <c r="J264" s="26">
        <v>43333.686805555553</v>
      </c>
      <c r="K264" s="7">
        <v>2.2225931400000003</v>
      </c>
      <c r="L264" s="7">
        <v>1.3235800290435971</v>
      </c>
      <c r="M264" s="7">
        <v>6.2108839502204631E-2</v>
      </c>
      <c r="N264" s="6">
        <v>259.08621086101925</v>
      </c>
      <c r="O264" s="6">
        <v>17.899120370427763</v>
      </c>
      <c r="P264" s="7">
        <v>5.3045246601367619</v>
      </c>
      <c r="Q264" s="7">
        <v>1.8998610814664527</v>
      </c>
      <c r="R264" s="67">
        <v>1.3743291946136695</v>
      </c>
      <c r="S264" s="7">
        <v>0.50130132697115892</v>
      </c>
      <c r="T264" s="171">
        <f t="shared" si="8"/>
        <v>0.97173159292439559</v>
      </c>
      <c r="U264" s="171">
        <f t="shared" si="9"/>
        <v>0.37616565092309695</v>
      </c>
    </row>
    <row r="265" spans="1:21" s="42" customFormat="1">
      <c r="A265" s="5">
        <v>435</v>
      </c>
      <c r="B265" s="28">
        <v>15.087</v>
      </c>
      <c r="C265" s="5" t="s">
        <v>142</v>
      </c>
      <c r="D265" s="5">
        <v>39</v>
      </c>
      <c r="E265" s="5">
        <v>2</v>
      </c>
      <c r="F265" s="24">
        <v>50.098999999999997</v>
      </c>
      <c r="G265" s="24">
        <v>-144.94399999999999</v>
      </c>
      <c r="H265" s="5">
        <v>19</v>
      </c>
      <c r="I265" s="25">
        <v>43333.686805555553</v>
      </c>
      <c r="J265" s="26">
        <v>43333.686805555553</v>
      </c>
      <c r="K265" s="7">
        <v>2.2226324400000004</v>
      </c>
      <c r="L265" s="7">
        <v>1.1916659360384809</v>
      </c>
      <c r="M265" s="7">
        <v>5.8351689575952444E-2</v>
      </c>
      <c r="N265" s="6">
        <v>555.63665329533171</v>
      </c>
      <c r="O265" s="6">
        <v>24.537659126634384</v>
      </c>
      <c r="P265" s="7">
        <v>5.3045246601367619</v>
      </c>
      <c r="Q265" s="7">
        <v>1.8998610814664527</v>
      </c>
      <c r="R265" s="67">
        <v>2.9473883294809471</v>
      </c>
      <c r="S265" s="7">
        <v>1.0636266555313638</v>
      </c>
      <c r="T265" s="171">
        <f t="shared" si="8"/>
        <v>2.0839769449694314</v>
      </c>
      <c r="U265" s="171">
        <f t="shared" si="9"/>
        <v>0.7990916340049975</v>
      </c>
    </row>
    <row r="266" spans="1:21" s="42" customFormat="1">
      <c r="A266" s="5">
        <v>434</v>
      </c>
      <c r="B266" s="28">
        <v>24.956999999999901</v>
      </c>
      <c r="C266" s="5" t="s">
        <v>142</v>
      </c>
      <c r="D266" s="5">
        <v>39</v>
      </c>
      <c r="E266" s="5">
        <v>2</v>
      </c>
      <c r="F266" s="24">
        <v>50.098999999999997</v>
      </c>
      <c r="G266" s="24">
        <v>-144.94399999999999</v>
      </c>
      <c r="H266" s="5">
        <v>16</v>
      </c>
      <c r="I266" s="25">
        <v>43333.686805555553</v>
      </c>
      <c r="J266" s="26">
        <v>43333.686805555553</v>
      </c>
      <c r="K266" s="7">
        <v>2.2226403000000001</v>
      </c>
      <c r="L266" s="7">
        <v>1.3004457148263464</v>
      </c>
      <c r="M266" s="7">
        <v>6.7270076695912784E-2</v>
      </c>
      <c r="N266" s="6">
        <v>1028.5825970147368</v>
      </c>
      <c r="O266" s="6">
        <v>42.335582875484157</v>
      </c>
      <c r="P266" s="7">
        <v>5.3045246601367619</v>
      </c>
      <c r="Q266" s="7">
        <v>1.8998610814664527</v>
      </c>
      <c r="R266" s="67">
        <v>5.4561417508521854</v>
      </c>
      <c r="S266" s="7">
        <v>1.9670253848428991</v>
      </c>
      <c r="T266" s="171">
        <f t="shared" si="8"/>
        <v>3.8578132048393878</v>
      </c>
      <c r="U266" s="171">
        <f t="shared" si="9"/>
        <v>1.4779721040960434</v>
      </c>
    </row>
    <row r="267" spans="1:21" s="42" customFormat="1">
      <c r="A267" s="5">
        <v>433</v>
      </c>
      <c r="B267" s="28">
        <v>50.750999999999998</v>
      </c>
      <c r="C267" s="5" t="s">
        <v>142</v>
      </c>
      <c r="D267" s="5">
        <v>39</v>
      </c>
      <c r="E267" s="5">
        <v>2</v>
      </c>
      <c r="F267" s="24">
        <v>50.098999999999997</v>
      </c>
      <c r="G267" s="24">
        <v>-144.94399999999999</v>
      </c>
      <c r="H267" s="5">
        <v>13</v>
      </c>
      <c r="I267" s="25">
        <v>43333.686805555553</v>
      </c>
      <c r="J267" s="26">
        <v>43333.686805555553</v>
      </c>
      <c r="K267" s="7">
        <v>2.2411899000000006</v>
      </c>
      <c r="L267" s="7">
        <v>1.69901870046632</v>
      </c>
      <c r="M267" s="7">
        <v>7.2394836817770286E-2</v>
      </c>
      <c r="N267" s="6">
        <v>1422.0680077486218</v>
      </c>
      <c r="O267" s="6">
        <v>67.475007903013136</v>
      </c>
      <c r="P267" s="67">
        <v>5.248551299999999</v>
      </c>
      <c r="Q267" s="7">
        <v>1.8644656622601932</v>
      </c>
      <c r="R267" s="67">
        <v>7.4637968907574379</v>
      </c>
      <c r="S267" s="7">
        <v>2.6749439825299346</v>
      </c>
      <c r="T267" s="171">
        <f t="shared" si="8"/>
        <v>5.2773434999019102</v>
      </c>
      <c r="U267" s="171">
        <f t="shared" si="9"/>
        <v>2.011252785079825</v>
      </c>
    </row>
    <row r="268" spans="1:21" s="42" customFormat="1">
      <c r="A268" s="5">
        <v>432</v>
      </c>
      <c r="B268" s="28">
        <v>75.426999999999893</v>
      </c>
      <c r="C268" s="5" t="s">
        <v>142</v>
      </c>
      <c r="D268" s="5">
        <v>39</v>
      </c>
      <c r="E268" s="5">
        <v>2</v>
      </c>
      <c r="F268" s="24">
        <v>50.098999999999997</v>
      </c>
      <c r="G268" s="24">
        <v>-144.94399999999999</v>
      </c>
      <c r="H268" s="5">
        <v>11</v>
      </c>
      <c r="I268" s="25">
        <v>43333.686805555553</v>
      </c>
      <c r="J268" s="26">
        <v>43333.686805555553</v>
      </c>
      <c r="K268" s="7">
        <v>2.2458115800000003</v>
      </c>
      <c r="L268" s="7">
        <v>2.2221584433135275</v>
      </c>
      <c r="M268" s="7">
        <v>8.5233537368798976E-2</v>
      </c>
      <c r="N268" s="6">
        <v>1437.2661306209782</v>
      </c>
      <c r="O268" s="6">
        <v>86.903401117748288</v>
      </c>
      <c r="P268" s="67">
        <v>3.4299301000000071</v>
      </c>
      <c r="Q268" s="7">
        <v>0.88758310107759897</v>
      </c>
      <c r="R268" s="67">
        <v>4.9297223631274347</v>
      </c>
      <c r="S268" s="7">
        <v>1.3100535217290505</v>
      </c>
      <c r="T268" s="171">
        <f t="shared" si="8"/>
        <v>3.4856037282562662</v>
      </c>
      <c r="U268" s="171">
        <f t="shared" si="9"/>
        <v>1.030604995051869</v>
      </c>
    </row>
    <row r="269" spans="1:21" s="42" customFormat="1">
      <c r="A269" s="5">
        <v>431</v>
      </c>
      <c r="B269" s="28">
        <v>95.433999999999997</v>
      </c>
      <c r="C269" s="5" t="s">
        <v>142</v>
      </c>
      <c r="D269" s="5">
        <v>39</v>
      </c>
      <c r="E269" s="5">
        <v>2</v>
      </c>
      <c r="F269" s="24">
        <v>50.098999999999997</v>
      </c>
      <c r="G269" s="24">
        <v>-144.94399999999999</v>
      </c>
      <c r="H269" s="5">
        <v>9</v>
      </c>
      <c r="I269" s="25">
        <v>43333.686805555553</v>
      </c>
      <c r="J269" s="26">
        <v>43333.686805555553</v>
      </c>
      <c r="K269" s="7">
        <v>2.2642197000000004</v>
      </c>
      <c r="L269" s="7">
        <v>2.0764502163971486</v>
      </c>
      <c r="M269" s="7">
        <v>8.8534916618839957E-2</v>
      </c>
      <c r="N269" s="6">
        <v>1533.2582806892833</v>
      </c>
      <c r="O269" s="6">
        <v>97.983519267801739</v>
      </c>
      <c r="P269" s="67">
        <v>1.955414199999999</v>
      </c>
      <c r="Q269" s="7">
        <v>0.35308619724021456</v>
      </c>
      <c r="R269" s="67">
        <v>2.9981550143274087</v>
      </c>
      <c r="S269" s="7">
        <v>0.57427688385199172</v>
      </c>
      <c r="T269" s="171">
        <f t="shared" si="8"/>
        <v>2.1198719777801185</v>
      </c>
      <c r="U269" s="171">
        <f t="shared" si="9"/>
        <v>0.49028910451402802</v>
      </c>
    </row>
    <row r="270" spans="1:21" s="42" customFormat="1">
      <c r="A270" s="5">
        <v>430</v>
      </c>
      <c r="B270" s="28">
        <v>110.97799999999999</v>
      </c>
      <c r="C270" s="5" t="s">
        <v>142</v>
      </c>
      <c r="D270" s="5">
        <v>39</v>
      </c>
      <c r="E270" s="5">
        <v>2</v>
      </c>
      <c r="F270" s="24">
        <v>50.098999999999997</v>
      </c>
      <c r="G270" s="24">
        <v>-144.94399999999999</v>
      </c>
      <c r="H270" s="5">
        <v>7</v>
      </c>
      <c r="I270" s="25">
        <v>43333.686805555553</v>
      </c>
      <c r="J270" s="26">
        <v>43333.686805555553</v>
      </c>
      <c r="K270" s="7">
        <v>2.2786113600000002</v>
      </c>
      <c r="L270" s="7">
        <v>2.0629588413343449</v>
      </c>
      <c r="M270" s="7">
        <v>8.1528967126815205E-2</v>
      </c>
      <c r="N270" s="6">
        <v>1632.1983407727221</v>
      </c>
      <c r="O270" s="6">
        <v>104.88042493146503</v>
      </c>
      <c r="P270" s="67">
        <v>1.5056222000000001</v>
      </c>
      <c r="Q270" s="7">
        <v>0.27629863603970523</v>
      </c>
      <c r="R270" s="67">
        <v>2.4574740566705757</v>
      </c>
      <c r="S270" s="7">
        <v>0.47782148173824313</v>
      </c>
      <c r="T270" s="171">
        <f t="shared" si="8"/>
        <v>1.7375787322411895</v>
      </c>
      <c r="U270" s="171">
        <f t="shared" si="9"/>
        <v>0.40604369841842253</v>
      </c>
    </row>
    <row r="271" spans="1:21" s="42" customFormat="1">
      <c r="A271" s="5">
        <v>429</v>
      </c>
      <c r="B271" s="28">
        <v>127.339</v>
      </c>
      <c r="C271" s="5" t="s">
        <v>142</v>
      </c>
      <c r="D271" s="5">
        <v>39</v>
      </c>
      <c r="E271" s="5">
        <v>2</v>
      </c>
      <c r="F271" s="24">
        <v>50.098999999999997</v>
      </c>
      <c r="G271" s="24">
        <v>-144.94399999999999</v>
      </c>
      <c r="H271" s="5">
        <v>6</v>
      </c>
      <c r="I271" s="25">
        <v>43333.686805555553</v>
      </c>
      <c r="J271" s="26">
        <v>43333.686805555553</v>
      </c>
      <c r="K271" s="7">
        <v>2.2996761600000002</v>
      </c>
      <c r="L271" s="7">
        <v>2.318200366134064</v>
      </c>
      <c r="M271" s="7">
        <v>8.893534958288192E-2</v>
      </c>
      <c r="N271" s="6">
        <v>1621.5408200016507</v>
      </c>
      <c r="O271" s="6">
        <v>116.69609256277862</v>
      </c>
      <c r="P271" s="67">
        <v>1.3403761000000001</v>
      </c>
      <c r="Q271" s="7">
        <v>0.28757512275401631</v>
      </c>
      <c r="R271" s="67">
        <v>2.1734745603046144</v>
      </c>
      <c r="S271" s="7">
        <v>0.4918492274151629</v>
      </c>
      <c r="T271" s="171">
        <f t="shared" si="8"/>
        <v>1.5367743805072525</v>
      </c>
      <c r="U271" s="171">
        <f t="shared" si="9"/>
        <v>0.40077909249819355</v>
      </c>
    </row>
    <row r="272" spans="1:21" s="42" customFormat="1">
      <c r="A272" s="5">
        <v>428</v>
      </c>
      <c r="B272" s="28">
        <v>150.98699999999999</v>
      </c>
      <c r="C272" s="5" t="s">
        <v>142</v>
      </c>
      <c r="D272" s="5">
        <v>39</v>
      </c>
      <c r="E272" s="5">
        <v>2</v>
      </c>
      <c r="F272" s="24">
        <v>50.098999999999997</v>
      </c>
      <c r="G272" s="24">
        <v>-144.94399999999999</v>
      </c>
      <c r="H272" s="5">
        <v>5</v>
      </c>
      <c r="I272" s="25">
        <v>43333.686805555553</v>
      </c>
      <c r="J272" s="26">
        <v>43333.686805555553</v>
      </c>
      <c r="K272" s="7">
        <v>2.3284201800000006</v>
      </c>
      <c r="L272" s="7">
        <v>2.3015315428874175</v>
      </c>
      <c r="M272" s="7">
        <v>8.6970153056299376E-2</v>
      </c>
      <c r="N272" s="6">
        <v>1648.1715445336863</v>
      </c>
      <c r="O272" s="6">
        <v>145.04268053103692</v>
      </c>
      <c r="P272" s="67">
        <v>1.1149234000000001</v>
      </c>
      <c r="Q272" s="7">
        <v>0.28284465645392448</v>
      </c>
      <c r="R272" s="67">
        <v>1.8375850222147492</v>
      </c>
      <c r="S272" s="7">
        <v>0.4934279529600144</v>
      </c>
      <c r="T272" s="171">
        <f t="shared" si="8"/>
        <v>1.2992807165627454</v>
      </c>
      <c r="U272" s="171">
        <f t="shared" si="9"/>
        <v>0.38740696984836914</v>
      </c>
    </row>
    <row r="273" spans="1:21" s="42" customFormat="1">
      <c r="A273" s="5">
        <v>427</v>
      </c>
      <c r="B273" s="28">
        <v>196.21299999999999</v>
      </c>
      <c r="C273" s="5" t="s">
        <v>142</v>
      </c>
      <c r="D273" s="5">
        <v>39</v>
      </c>
      <c r="E273" s="5">
        <v>2</v>
      </c>
      <c r="F273" s="24">
        <v>50.098999999999997</v>
      </c>
      <c r="G273" s="24">
        <v>-144.94399999999999</v>
      </c>
      <c r="H273" s="5">
        <v>3</v>
      </c>
      <c r="I273" s="25">
        <v>43333.686805555553</v>
      </c>
      <c r="J273" s="26">
        <v>43333.686805555553</v>
      </c>
      <c r="K273" s="7">
        <v>2.3366495999999999</v>
      </c>
      <c r="L273" s="7">
        <v>2.493661175809625</v>
      </c>
      <c r="M273" s="7">
        <v>0.10041985130094142</v>
      </c>
      <c r="N273" s="6">
        <v>1247.7731157449509</v>
      </c>
      <c r="O273" s="6">
        <v>294.30551522902249</v>
      </c>
      <c r="P273" s="67">
        <v>1.0335166</v>
      </c>
      <c r="Q273" s="7">
        <v>7.6066650196244451E-2</v>
      </c>
      <c r="R273" s="67">
        <v>1.2895942281561281</v>
      </c>
      <c r="S273" s="7">
        <v>0.31863430380081653</v>
      </c>
      <c r="T273" s="171">
        <f t="shared" si="8"/>
        <v>0.91181898664717254</v>
      </c>
      <c r="U273" s="171">
        <f t="shared" si="9"/>
        <v>0.25441501129868477</v>
      </c>
    </row>
    <row r="274" spans="1:21" s="42" customFormat="1">
      <c r="A274" s="5">
        <v>426</v>
      </c>
      <c r="B274" s="28">
        <v>328.32499999999999</v>
      </c>
      <c r="C274" s="5" t="s">
        <v>142</v>
      </c>
      <c r="D274" s="5">
        <v>39</v>
      </c>
      <c r="E274" s="5">
        <v>2</v>
      </c>
      <c r="F274" s="24">
        <v>50.098999999999997</v>
      </c>
      <c r="G274" s="24">
        <v>-144.94399999999999</v>
      </c>
      <c r="H274" s="5">
        <v>2</v>
      </c>
      <c r="I274" s="25">
        <v>43333.686805555553</v>
      </c>
      <c r="J274" s="26">
        <v>43333.686805555553</v>
      </c>
      <c r="K274" s="7">
        <v>2.3516228999999997</v>
      </c>
      <c r="L274" s="7">
        <v>2.1097405501017894</v>
      </c>
      <c r="M274" s="7">
        <v>8.3934114215665406E-2</v>
      </c>
      <c r="N274" s="6">
        <v>1707.2940830651903</v>
      </c>
      <c r="O274" s="6">
        <v>334.7264728750223</v>
      </c>
      <c r="P274" s="67">
        <v>0.93978100734870584</v>
      </c>
      <c r="Q274" s="7">
        <v>0.1503684181233878</v>
      </c>
      <c r="R274" s="67">
        <v>1.6044825532234894</v>
      </c>
      <c r="S274" s="7">
        <v>0.40603051279540564</v>
      </c>
      <c r="T274" s="171">
        <f t="shared" si="8"/>
        <v>1.1344635574750637</v>
      </c>
      <c r="U274" s="171">
        <f t="shared" si="9"/>
        <v>0.32255909973158237</v>
      </c>
    </row>
    <row r="275" spans="1:21" s="42" customFormat="1">
      <c r="A275" s="5">
        <v>437</v>
      </c>
      <c r="B275" s="28">
        <v>4.7969999999999997</v>
      </c>
      <c r="C275" s="5" t="s">
        <v>143</v>
      </c>
      <c r="D275" s="5">
        <v>40</v>
      </c>
      <c r="E275" s="5">
        <v>2</v>
      </c>
      <c r="F275" s="24">
        <v>50.26</v>
      </c>
      <c r="G275" s="24">
        <v>-145.06299999999999</v>
      </c>
      <c r="H275" s="5">
        <v>13</v>
      </c>
      <c r="I275" s="25">
        <v>43333.813888888886</v>
      </c>
      <c r="J275" s="26">
        <v>43333.813888888886</v>
      </c>
      <c r="K275" s="7">
        <v>2.2224516599999999</v>
      </c>
      <c r="L275" s="7">
        <v>1.5225243966941417</v>
      </c>
      <c r="M275" s="7">
        <v>6.60689507319112E-2</v>
      </c>
      <c r="N275" s="6">
        <v>248.00046770177423</v>
      </c>
      <c r="O275" s="6">
        <v>23.409762043973117</v>
      </c>
      <c r="P275" s="7">
        <v>5.3045246601367619</v>
      </c>
      <c r="Q275" s="7">
        <v>1.8998610814664527</v>
      </c>
      <c r="R275" s="67">
        <v>1.3155245966495119</v>
      </c>
      <c r="S275" s="7">
        <v>0.48725547959570203</v>
      </c>
      <c r="T275" s="171">
        <f t="shared" si="8"/>
        <v>0.93015328266587527</v>
      </c>
      <c r="U275" s="171">
        <f t="shared" si="9"/>
        <v>0.36500722192560198</v>
      </c>
    </row>
    <row r="276" spans="1:21" s="42" customFormat="1">
      <c r="A276" s="5">
        <v>438</v>
      </c>
      <c r="B276" s="28">
        <v>19.843</v>
      </c>
      <c r="C276" s="5" t="s">
        <v>143</v>
      </c>
      <c r="D276" s="5">
        <v>40</v>
      </c>
      <c r="E276" s="5">
        <v>2</v>
      </c>
      <c r="F276" s="24">
        <v>50.26</v>
      </c>
      <c r="G276" s="24">
        <v>-145.06299999999999</v>
      </c>
      <c r="H276" s="5">
        <v>12</v>
      </c>
      <c r="I276" s="25">
        <v>43333.813888888886</v>
      </c>
      <c r="J276" s="26">
        <v>43333.813888888886</v>
      </c>
      <c r="K276" s="7">
        <v>2.2225617000000004</v>
      </c>
      <c r="L276" s="7">
        <v>1.4349570981482724</v>
      </c>
      <c r="M276" s="7">
        <v>5.9734038296416624E-2</v>
      </c>
      <c r="N276" s="6">
        <v>594.19479555762348</v>
      </c>
      <c r="O276" s="6">
        <v>35.176844903522344</v>
      </c>
      <c r="P276" s="7">
        <v>5.3045246601367619</v>
      </c>
      <c r="Q276" s="7">
        <v>1.8998610814664527</v>
      </c>
      <c r="R276" s="67">
        <v>3.1519209459603355</v>
      </c>
      <c r="S276" s="7">
        <v>1.1442051260888837</v>
      </c>
      <c r="T276" s="171">
        <f t="shared" si="8"/>
        <v>2.228593537555446</v>
      </c>
      <c r="U276" s="171">
        <f t="shared" si="9"/>
        <v>0.85904978815324318</v>
      </c>
    </row>
    <row r="277" spans="1:21" s="42" customFormat="1">
      <c r="A277" s="5">
        <v>439</v>
      </c>
      <c r="B277" s="28">
        <v>35.363999999999997</v>
      </c>
      <c r="C277" s="5" t="s">
        <v>143</v>
      </c>
      <c r="D277" s="5">
        <v>40</v>
      </c>
      <c r="E277" s="5">
        <v>2</v>
      </c>
      <c r="F277" s="24">
        <v>50.26</v>
      </c>
      <c r="G277" s="24">
        <v>-145.06299999999999</v>
      </c>
      <c r="H277" s="5">
        <v>11</v>
      </c>
      <c r="I277" s="25">
        <v>43333.813888888886</v>
      </c>
      <c r="J277" s="26">
        <v>43333.813888888886</v>
      </c>
      <c r="K277" s="7">
        <v>2.2335342600000003</v>
      </c>
      <c r="L277" s="7">
        <v>1.4175858598241957</v>
      </c>
      <c r="M277" s="7">
        <v>6.296678573275595E-2</v>
      </c>
      <c r="N277" s="6">
        <v>951.65093756092119</v>
      </c>
      <c r="O277" s="6">
        <v>44.702771197402235</v>
      </c>
      <c r="P277" s="7">
        <v>5.3045246601367619</v>
      </c>
      <c r="Q277" s="7">
        <v>1.8998610814664527</v>
      </c>
      <c r="R277" s="67">
        <v>5.0480558661341766</v>
      </c>
      <c r="S277" s="7">
        <v>1.8234883467231029</v>
      </c>
      <c r="T277" s="171">
        <f t="shared" si="8"/>
        <v>3.5692724764890276</v>
      </c>
      <c r="U277" s="171">
        <f t="shared" si="9"/>
        <v>1.3698140293436976</v>
      </c>
    </row>
    <row r="278" spans="1:21" s="42" customFormat="1">
      <c r="A278" s="5">
        <v>440</v>
      </c>
      <c r="B278" s="28">
        <v>50.308</v>
      </c>
      <c r="C278" s="5" t="s">
        <v>143</v>
      </c>
      <c r="D278" s="5">
        <v>40</v>
      </c>
      <c r="E278" s="5">
        <v>2</v>
      </c>
      <c r="F278" s="24">
        <v>50.26</v>
      </c>
      <c r="G278" s="24">
        <v>-145.06299999999999</v>
      </c>
      <c r="H278" s="5">
        <v>10</v>
      </c>
      <c r="I278" s="25">
        <v>43333.813888888886</v>
      </c>
      <c r="J278" s="26">
        <v>43333.813888888886</v>
      </c>
      <c r="K278" s="7">
        <v>2.2369297800000001</v>
      </c>
      <c r="L278" s="7">
        <v>1.5209661564562516</v>
      </c>
      <c r="M278" s="7">
        <v>6.6607214974139059E-2</v>
      </c>
      <c r="N278" s="6">
        <v>1252.095879208129</v>
      </c>
      <c r="O278" s="6">
        <v>52.721802593850349</v>
      </c>
      <c r="P278" s="7">
        <v>5.3045246601367619</v>
      </c>
      <c r="Q278" s="7">
        <v>1.8998610814664527</v>
      </c>
      <c r="R278" s="67">
        <v>6.6417734681151401</v>
      </c>
      <c r="S278" s="7">
        <v>2.3951911428175152</v>
      </c>
      <c r="T278" s="171">
        <f t="shared" si="8"/>
        <v>4.6961245801292675</v>
      </c>
      <c r="U278" s="171">
        <f t="shared" si="9"/>
        <v>1.799622296858008</v>
      </c>
    </row>
    <row r="279" spans="1:21" s="42" customFormat="1">
      <c r="A279" s="5">
        <v>441</v>
      </c>
      <c r="B279" s="28">
        <v>64.546000000000006</v>
      </c>
      <c r="C279" s="5" t="s">
        <v>143</v>
      </c>
      <c r="D279" s="5">
        <v>40</v>
      </c>
      <c r="E279" s="5">
        <v>2</v>
      </c>
      <c r="F279" s="24">
        <v>50.26</v>
      </c>
      <c r="G279" s="24">
        <v>-145.06299999999999</v>
      </c>
      <c r="H279" s="5">
        <v>9</v>
      </c>
      <c r="I279" s="25">
        <v>43333.813888888886</v>
      </c>
      <c r="J279" s="26">
        <v>43333.813888888886</v>
      </c>
      <c r="K279" s="7">
        <v>2.2404353399999999</v>
      </c>
      <c r="L279" s="7">
        <v>2.0558337323815303</v>
      </c>
      <c r="M279" s="7">
        <v>7.7682382930408744E-2</v>
      </c>
      <c r="N279" s="6">
        <v>1332.1471258290753</v>
      </c>
      <c r="O279" s="6">
        <v>62.564885783605874</v>
      </c>
      <c r="P279" s="67">
        <v>4.2318597999999987</v>
      </c>
      <c r="Q279" s="7">
        <v>1.2751003475340223</v>
      </c>
      <c r="R279" s="67">
        <v>5.6374598694816038</v>
      </c>
      <c r="S279" s="7">
        <v>1.7191320884684413</v>
      </c>
      <c r="T279" s="171">
        <f t="shared" si="8"/>
        <v>3.9860157817273421</v>
      </c>
      <c r="U279" s="171">
        <f t="shared" si="9"/>
        <v>1.320785141491603</v>
      </c>
    </row>
    <row r="280" spans="1:21" s="42" customFormat="1">
      <c r="A280" s="5">
        <v>442</v>
      </c>
      <c r="B280" s="28">
        <v>80.463999999999999</v>
      </c>
      <c r="C280" s="5" t="s">
        <v>143</v>
      </c>
      <c r="D280" s="5">
        <v>40</v>
      </c>
      <c r="E280" s="5">
        <v>2</v>
      </c>
      <c r="F280" s="24">
        <v>50.26</v>
      </c>
      <c r="G280" s="24">
        <v>-145.06299999999999</v>
      </c>
      <c r="H280" s="5">
        <v>8</v>
      </c>
      <c r="I280" s="25">
        <v>43333.813888888886</v>
      </c>
      <c r="J280" s="26">
        <v>43333.813888888886</v>
      </c>
      <c r="K280" s="7">
        <v>2.2462674600000003</v>
      </c>
      <c r="L280" s="7">
        <v>2.3693929547523349</v>
      </c>
      <c r="M280" s="7">
        <v>8.6702861386745933E-2</v>
      </c>
      <c r="N280" s="6">
        <v>1278.8413391191627</v>
      </c>
      <c r="O280" s="6">
        <v>72.961584759811942</v>
      </c>
      <c r="P280" s="67">
        <v>3.0587031999999992</v>
      </c>
      <c r="Q280" s="7">
        <v>0.73129379842471653</v>
      </c>
      <c r="R280" s="67">
        <v>3.911596096256067</v>
      </c>
      <c r="S280" s="7">
        <v>0.9614672484460679</v>
      </c>
      <c r="T280" s="171">
        <f t="shared" si="8"/>
        <v>2.7657285608054338</v>
      </c>
      <c r="U280" s="171">
        <f t="shared" si="9"/>
        <v>0.76855373831758322</v>
      </c>
    </row>
    <row r="281" spans="1:21" s="42" customFormat="1">
      <c r="A281" s="5">
        <v>443</v>
      </c>
      <c r="B281" s="28">
        <v>94.652999999999906</v>
      </c>
      <c r="C281" s="5" t="s">
        <v>143</v>
      </c>
      <c r="D281" s="5">
        <v>40</v>
      </c>
      <c r="E281" s="5">
        <v>2</v>
      </c>
      <c r="F281" s="24">
        <v>50.26</v>
      </c>
      <c r="G281" s="24">
        <v>-145.06299999999999</v>
      </c>
      <c r="H281" s="5">
        <v>7</v>
      </c>
      <c r="I281" s="25">
        <v>43333.813888888886</v>
      </c>
      <c r="J281" s="26">
        <v>43333.813888888886</v>
      </c>
      <c r="K281" s="7">
        <v>2.2636537799999998</v>
      </c>
      <c r="L281" s="7">
        <v>2.2712040314636184</v>
      </c>
      <c r="M281" s="7">
        <v>8.2748611918168208E-2</v>
      </c>
      <c r="N281" s="6">
        <v>1275.6647215188646</v>
      </c>
      <c r="O281" s="6">
        <v>80.842222977449438</v>
      </c>
      <c r="P281" s="67">
        <v>2.0129739000000058</v>
      </c>
      <c r="Q281" s="7">
        <v>0.36962513197986158</v>
      </c>
      <c r="R281" s="67">
        <v>2.5678797895682499</v>
      </c>
      <c r="S281" s="7">
        <v>0.49880968528413533</v>
      </c>
      <c r="T281" s="171">
        <f t="shared" si="8"/>
        <v>1.8156420806129752</v>
      </c>
      <c r="U281" s="171">
        <f t="shared" si="9"/>
        <v>0.42400427428554577</v>
      </c>
    </row>
    <row r="282" spans="1:21" s="42" customFormat="1">
      <c r="A282" s="5">
        <v>444</v>
      </c>
      <c r="B282" s="28">
        <v>109.72199999999999</v>
      </c>
      <c r="C282" s="5" t="s">
        <v>143</v>
      </c>
      <c r="D282" s="5">
        <v>40</v>
      </c>
      <c r="E282" s="5">
        <v>2</v>
      </c>
      <c r="F282" s="24">
        <v>50.26</v>
      </c>
      <c r="G282" s="24">
        <v>-145.06299999999999</v>
      </c>
      <c r="H282" s="5">
        <v>6</v>
      </c>
      <c r="I282" s="25">
        <v>43333.813888888886</v>
      </c>
      <c r="J282" s="26">
        <v>43333.813888888886</v>
      </c>
      <c r="K282" s="7">
        <v>2.2911244800000001</v>
      </c>
      <c r="L282" s="7">
        <v>2.3798294708432266</v>
      </c>
      <c r="M282" s="7">
        <v>8.6387490979032006E-2</v>
      </c>
      <c r="N282" s="6">
        <v>1237.5121904682471</v>
      </c>
      <c r="O282" s="6">
        <v>88.971993263589255</v>
      </c>
      <c r="P282" s="67">
        <v>1.5183078000000001</v>
      </c>
      <c r="Q282" s="7">
        <v>0.27500901780554515</v>
      </c>
      <c r="R282" s="67">
        <v>1.8789244113830255</v>
      </c>
      <c r="S282" s="7">
        <v>0.36615698535554925</v>
      </c>
      <c r="T282" s="171">
        <f t="shared" si="8"/>
        <v>1.3285100967174053</v>
      </c>
      <c r="U282" s="171">
        <f t="shared" si="9"/>
        <v>0.31093739968289097</v>
      </c>
    </row>
    <row r="283" spans="1:21" s="42" customFormat="1">
      <c r="A283" s="5">
        <v>445</v>
      </c>
      <c r="B283" s="28">
        <v>124.56299999999899</v>
      </c>
      <c r="C283" s="5" t="s">
        <v>143</v>
      </c>
      <c r="D283" s="5">
        <v>40</v>
      </c>
      <c r="E283" s="5">
        <v>2</v>
      </c>
      <c r="F283" s="24">
        <v>50.26</v>
      </c>
      <c r="G283" s="24">
        <v>-145.06299999999999</v>
      </c>
      <c r="H283" s="5">
        <v>5</v>
      </c>
      <c r="I283" s="25">
        <v>43333.813888888886</v>
      </c>
      <c r="J283" s="26">
        <v>43333.813888888886</v>
      </c>
      <c r="K283" s="7">
        <v>2.3151603600000001</v>
      </c>
      <c r="L283" s="7">
        <v>2.176737358031116</v>
      </c>
      <c r="M283" s="7">
        <v>8.6029952484727806E-2</v>
      </c>
      <c r="N283" s="6">
        <v>1309.266555220378</v>
      </c>
      <c r="O283" s="6">
        <v>99.522672560422876</v>
      </c>
      <c r="P283" s="67">
        <v>1.3684137000000103</v>
      </c>
      <c r="Q283" s="7">
        <v>0.28638437101595027</v>
      </c>
      <c r="R283" s="67">
        <v>1.7916182911153853</v>
      </c>
      <c r="S283" s="7">
        <v>0.39892021013984619</v>
      </c>
      <c r="T283" s="171">
        <f t="shared" si="8"/>
        <v>1.2667795334344421</v>
      </c>
      <c r="U283" s="171">
        <f t="shared" si="9"/>
        <v>0.32637651732057293</v>
      </c>
    </row>
    <row r="284" spans="1:21" s="42" customFormat="1">
      <c r="A284" s="5">
        <v>446</v>
      </c>
      <c r="B284" s="28">
        <v>145.77000000000001</v>
      </c>
      <c r="C284" s="5" t="s">
        <v>143</v>
      </c>
      <c r="D284" s="5">
        <v>40</v>
      </c>
      <c r="E284" s="5">
        <v>2</v>
      </c>
      <c r="F284" s="24">
        <v>50.26</v>
      </c>
      <c r="G284" s="24">
        <v>-145.06299999999999</v>
      </c>
      <c r="H284" s="5">
        <v>4</v>
      </c>
      <c r="I284" s="25">
        <v>43333.813888888886</v>
      </c>
      <c r="J284" s="26">
        <v>43333.813888888886</v>
      </c>
      <c r="K284" s="7">
        <v>2.3306681400000002</v>
      </c>
      <c r="L284" s="7">
        <v>2.3029179225616678</v>
      </c>
      <c r="M284" s="7">
        <v>8.8053654556188354E-2</v>
      </c>
      <c r="N284" s="6">
        <v>1337.701926637272</v>
      </c>
      <c r="O284" s="6">
        <v>134.33465936912032</v>
      </c>
      <c r="P284" s="67">
        <v>1.154223</v>
      </c>
      <c r="Q284" s="7">
        <v>0.28799213136687007</v>
      </c>
      <c r="R284" s="67">
        <v>1.5440063308690519</v>
      </c>
      <c r="S284" s="7">
        <v>0.41527931077397995</v>
      </c>
      <c r="T284" s="171">
        <f t="shared" si="8"/>
        <v>1.0917033104302885</v>
      </c>
      <c r="U284" s="171">
        <f t="shared" si="9"/>
        <v>0.32594854133176787</v>
      </c>
    </row>
    <row r="285" spans="1:21" s="42" customFormat="1">
      <c r="A285" s="5">
        <v>447</v>
      </c>
      <c r="B285" s="28">
        <v>195.821</v>
      </c>
      <c r="C285" s="5" t="s">
        <v>143</v>
      </c>
      <c r="D285" s="5">
        <v>40</v>
      </c>
      <c r="E285" s="5">
        <v>2</v>
      </c>
      <c r="F285" s="24">
        <v>50.26</v>
      </c>
      <c r="G285" s="24">
        <v>-145.06299999999999</v>
      </c>
      <c r="H285" s="5">
        <v>3</v>
      </c>
      <c r="I285" s="25">
        <v>43333.813888888886</v>
      </c>
      <c r="J285" s="26">
        <v>43333.813888888886</v>
      </c>
      <c r="K285" s="7">
        <v>2.33661816</v>
      </c>
      <c r="L285" s="7">
        <v>2.2348344887371625</v>
      </c>
      <c r="M285" s="7">
        <v>8.5425477548429288E-2</v>
      </c>
      <c r="N285" s="6">
        <v>1609.4957271359592</v>
      </c>
      <c r="O285" s="6">
        <v>264.72827067881195</v>
      </c>
      <c r="P285" s="67">
        <v>1.0342222000000001</v>
      </c>
      <c r="Q285" s="7">
        <v>7.7732945176871654E-2</v>
      </c>
      <c r="R285" s="67">
        <v>1.6645762118091516</v>
      </c>
      <c r="S285" s="7">
        <v>0.30101912288070465</v>
      </c>
      <c r="T285" s="171">
        <f t="shared" si="8"/>
        <v>1.1769533094289364</v>
      </c>
      <c r="U285" s="171">
        <f t="shared" si="9"/>
        <v>0.26186922509589722</v>
      </c>
    </row>
    <row r="286" spans="1:21" s="42" customFormat="1">
      <c r="A286" s="5">
        <v>448</v>
      </c>
      <c r="B286" s="28">
        <v>331.46600000000001</v>
      </c>
      <c r="C286" s="5" t="s">
        <v>143</v>
      </c>
      <c r="D286" s="5">
        <v>40</v>
      </c>
      <c r="E286" s="5">
        <v>2</v>
      </c>
      <c r="F286" s="24">
        <v>50.26</v>
      </c>
      <c r="G286" s="24">
        <v>-145.06299999999999</v>
      </c>
      <c r="H286" s="5">
        <v>2</v>
      </c>
      <c r="I286" s="25">
        <v>43333.813888888886</v>
      </c>
      <c r="J286" s="26">
        <v>43333.813888888886</v>
      </c>
      <c r="K286" s="7">
        <v>2.3530376999999998</v>
      </c>
      <c r="L286" s="7">
        <v>2.2562690080682515</v>
      </c>
      <c r="M286" s="7">
        <v>8.7338883487398628E-2</v>
      </c>
      <c r="N286" s="6">
        <v>1798.2503280775982</v>
      </c>
      <c r="O286" s="6">
        <v>314.80779076778157</v>
      </c>
      <c r="P286" s="67">
        <v>0.92941360000000006</v>
      </c>
      <c r="Q286" s="7">
        <v>0.14897327645684963</v>
      </c>
      <c r="R286" s="67">
        <v>1.6713183111197818</v>
      </c>
      <c r="S286" s="7">
        <v>0.39670223262223159</v>
      </c>
      <c r="T286" s="171">
        <f t="shared" si="8"/>
        <v>1.181720370281933</v>
      </c>
      <c r="U286" s="171">
        <f t="shared" si="9"/>
        <v>0.31959343980526006</v>
      </c>
    </row>
    <row r="287" spans="1:21" s="42" customFormat="1">
      <c r="A287" s="5">
        <v>450</v>
      </c>
      <c r="B287" s="28">
        <v>5.2389999999999999</v>
      </c>
      <c r="C287" s="5" t="s">
        <v>144</v>
      </c>
      <c r="D287" s="5">
        <v>43</v>
      </c>
      <c r="E287" s="5">
        <v>2</v>
      </c>
      <c r="F287" s="24">
        <v>50.305999999999997</v>
      </c>
      <c r="G287" s="24">
        <v>-145.24799999999999</v>
      </c>
      <c r="H287" s="5">
        <v>13</v>
      </c>
      <c r="I287" s="25">
        <v>43334.272222222222</v>
      </c>
      <c r="J287" s="26">
        <v>43334.272222222222</v>
      </c>
      <c r="K287" s="7">
        <v>2.2226324400000004</v>
      </c>
      <c r="L287" s="7">
        <v>1.447203760085372</v>
      </c>
      <c r="M287" s="7">
        <v>6.1461967852616352E-2</v>
      </c>
      <c r="N287" s="6">
        <v>276.60338153237751</v>
      </c>
      <c r="O287" s="6">
        <v>21.924115762057774</v>
      </c>
      <c r="P287" s="7">
        <v>5.3045246601367619</v>
      </c>
      <c r="Q287" s="7">
        <v>1.8998610814664527</v>
      </c>
      <c r="R287" s="67">
        <v>1.4672494584157139</v>
      </c>
      <c r="S287" s="7">
        <v>0.5382226795512649</v>
      </c>
      <c r="T287" s="171">
        <f t="shared" si="8"/>
        <v>1.0374316859684771</v>
      </c>
      <c r="U287" s="171">
        <f t="shared" si="9"/>
        <v>0.40361652612721849</v>
      </c>
    </row>
    <row r="288" spans="1:21" s="42" customFormat="1">
      <c r="A288" s="5">
        <v>451</v>
      </c>
      <c r="B288" s="28">
        <v>19.567</v>
      </c>
      <c r="C288" s="5" t="s">
        <v>144</v>
      </c>
      <c r="D288" s="5">
        <v>43</v>
      </c>
      <c r="E288" s="5">
        <v>2</v>
      </c>
      <c r="F288" s="24">
        <v>50.305999999999997</v>
      </c>
      <c r="G288" s="24">
        <v>-145.24799999999999</v>
      </c>
      <c r="H288" s="5">
        <v>12</v>
      </c>
      <c r="I288" s="25">
        <v>43334.272222222222</v>
      </c>
      <c r="J288" s="26">
        <v>43334.272222222222</v>
      </c>
      <c r="K288" s="7">
        <v>2.2226324400000004</v>
      </c>
      <c r="L288" s="7">
        <v>1.3972686828812384</v>
      </c>
      <c r="M288" s="7">
        <v>6.2417184559271782E-2</v>
      </c>
      <c r="N288" s="6">
        <v>629.30645552926512</v>
      </c>
      <c r="O288" s="6">
        <v>34.526847545976459</v>
      </c>
      <c r="P288" s="7">
        <v>5.3045246601367619</v>
      </c>
      <c r="Q288" s="7">
        <v>1.8998610814664527</v>
      </c>
      <c r="R288" s="67">
        <v>3.3381716121382454</v>
      </c>
      <c r="S288" s="7">
        <v>1.2095414037138799</v>
      </c>
      <c r="T288" s="171">
        <f t="shared" si="8"/>
        <v>2.3602837157439156</v>
      </c>
      <c r="U288" s="171">
        <f t="shared" si="9"/>
        <v>0.90829656570295103</v>
      </c>
    </row>
    <row r="289" spans="1:21" s="42" customFormat="1">
      <c r="A289" s="5">
        <v>452</v>
      </c>
      <c r="B289" s="28">
        <v>34.955999999999896</v>
      </c>
      <c r="C289" s="5" t="s">
        <v>144</v>
      </c>
      <c r="D289" s="5">
        <v>43</v>
      </c>
      <c r="E289" s="5">
        <v>2</v>
      </c>
      <c r="F289" s="24">
        <v>50.305999999999997</v>
      </c>
      <c r="G289" s="24">
        <v>-145.24799999999999</v>
      </c>
      <c r="H289" s="5">
        <v>11</v>
      </c>
      <c r="I289" s="25">
        <v>43334.272222222222</v>
      </c>
      <c r="J289" s="26">
        <v>43334.272222222222</v>
      </c>
      <c r="K289" s="7">
        <v>2.23190724</v>
      </c>
      <c r="L289" s="7">
        <v>1.4580412717397309</v>
      </c>
      <c r="M289" s="7">
        <v>7.075479088983086E-2</v>
      </c>
      <c r="N289" s="6">
        <v>962.00603039651628</v>
      </c>
      <c r="O289" s="6">
        <v>46.015299120880542</v>
      </c>
      <c r="P289" s="7">
        <v>5.3045246601367619</v>
      </c>
      <c r="Q289" s="7">
        <v>1.8998610814664527</v>
      </c>
      <c r="R289" s="67">
        <v>5.1029847114385953</v>
      </c>
      <c r="S289" s="7">
        <v>1.843905036809427</v>
      </c>
      <c r="T289" s="171">
        <f t="shared" si="8"/>
        <v>3.6081104016050438</v>
      </c>
      <c r="U289" s="171">
        <f t="shared" si="9"/>
        <v>1.3851018869520335</v>
      </c>
    </row>
    <row r="290" spans="1:21" s="42" customFormat="1">
      <c r="A290" s="5">
        <v>453</v>
      </c>
      <c r="B290" s="28">
        <v>49.463999999999999</v>
      </c>
      <c r="C290" s="5" t="s">
        <v>144</v>
      </c>
      <c r="D290" s="5">
        <v>43</v>
      </c>
      <c r="E290" s="5">
        <v>2</v>
      </c>
      <c r="F290" s="24">
        <v>50.305999999999997</v>
      </c>
      <c r="G290" s="24">
        <v>-145.24799999999999</v>
      </c>
      <c r="H290" s="5">
        <v>10</v>
      </c>
      <c r="I290" s="25">
        <v>43334.272222222222</v>
      </c>
      <c r="J290" s="26">
        <v>43334.272222222222</v>
      </c>
      <c r="K290" s="7">
        <v>2.2423138800000002</v>
      </c>
      <c r="L290" s="7">
        <v>1.8591536369228581</v>
      </c>
      <c r="M290" s="7">
        <v>7.9475799673453792E-2</v>
      </c>
      <c r="N290" s="6">
        <v>1133.1803631232403</v>
      </c>
      <c r="O290" s="6">
        <v>58.120853711960379</v>
      </c>
      <c r="P290" s="7">
        <v>5.3045246601367619</v>
      </c>
      <c r="Q290" s="7">
        <v>1.8998610814664527</v>
      </c>
      <c r="R290" s="67">
        <v>6.0109831805699585</v>
      </c>
      <c r="S290" s="7">
        <v>2.1748485086941756</v>
      </c>
      <c r="T290" s="171">
        <f t="shared" si="8"/>
        <v>4.2501187371915981</v>
      </c>
      <c r="U290" s="171">
        <f t="shared" si="9"/>
        <v>1.6334556815061587</v>
      </c>
    </row>
    <row r="291" spans="1:21" s="42" customFormat="1">
      <c r="A291" s="5">
        <v>454</v>
      </c>
      <c r="B291" s="28">
        <v>66.022999999999996</v>
      </c>
      <c r="C291" s="5" t="s">
        <v>144</v>
      </c>
      <c r="D291" s="5">
        <v>43</v>
      </c>
      <c r="E291" s="5">
        <v>2</v>
      </c>
      <c r="F291" s="24">
        <v>50.305999999999997</v>
      </c>
      <c r="G291" s="24">
        <v>-145.24799999999999</v>
      </c>
      <c r="H291" s="5">
        <v>9</v>
      </c>
      <c r="I291" s="25">
        <v>43334.272222222222</v>
      </c>
      <c r="J291" s="26">
        <v>43334.272222222222</v>
      </c>
      <c r="K291" s="7">
        <v>2.24487624</v>
      </c>
      <c r="L291" s="7">
        <v>2.143533566178808</v>
      </c>
      <c r="M291" s="7">
        <v>9.0368624031652259E-2</v>
      </c>
      <c r="N291" s="6">
        <v>1177.0088906834187</v>
      </c>
      <c r="O291" s="6">
        <v>70.03909211170803</v>
      </c>
      <c r="P291" s="67">
        <v>4.1230048999999998</v>
      </c>
      <c r="Q291" s="7">
        <v>1.2184967595658558</v>
      </c>
      <c r="R291" s="67">
        <v>4.8528134236312992</v>
      </c>
      <c r="S291" s="7">
        <v>1.4629646683987636</v>
      </c>
      <c r="T291" s="171">
        <f t="shared" si="8"/>
        <v>3.4312245834490325</v>
      </c>
      <c r="U291" s="171">
        <f t="shared" si="9"/>
        <v>1.1259709541191063</v>
      </c>
    </row>
    <row r="292" spans="1:21" s="42" customFormat="1">
      <c r="A292" s="5">
        <v>455</v>
      </c>
      <c r="B292" s="28">
        <v>79.539000000000001</v>
      </c>
      <c r="C292" s="5" t="s">
        <v>144</v>
      </c>
      <c r="D292" s="5">
        <v>43</v>
      </c>
      <c r="E292" s="5">
        <v>2</v>
      </c>
      <c r="F292" s="24">
        <v>50.305999999999997</v>
      </c>
      <c r="G292" s="24">
        <v>-145.24799999999999</v>
      </c>
      <c r="H292" s="5">
        <v>8</v>
      </c>
      <c r="I292" s="25">
        <v>43334.272222222222</v>
      </c>
      <c r="J292" s="26">
        <v>43334.272222222222</v>
      </c>
      <c r="K292" s="7">
        <v>2.24890056</v>
      </c>
      <c r="L292" s="7">
        <v>2.0575313196027869</v>
      </c>
      <c r="M292" s="7">
        <v>7.8953482379523196E-2</v>
      </c>
      <c r="N292" s="6">
        <v>1259.3316703682387</v>
      </c>
      <c r="O292" s="6">
        <v>77.839768659298457</v>
      </c>
      <c r="P292" s="67">
        <v>3.1268756999999994</v>
      </c>
      <c r="Q292" s="7">
        <v>0.75889913935830922</v>
      </c>
      <c r="R292" s="67">
        <v>3.937773598314855</v>
      </c>
      <c r="S292" s="7">
        <v>0.98621229340138794</v>
      </c>
      <c r="T292" s="171">
        <f t="shared" si="8"/>
        <v>2.7842375947938436</v>
      </c>
      <c r="U292" s="171">
        <f t="shared" si="9"/>
        <v>0.78517216935404943</v>
      </c>
    </row>
    <row r="293" spans="1:21" s="42" customFormat="1">
      <c r="A293" s="5">
        <v>456</v>
      </c>
      <c r="B293" s="28">
        <v>95.937999999999903</v>
      </c>
      <c r="C293" s="5" t="s">
        <v>144</v>
      </c>
      <c r="D293" s="5">
        <v>43</v>
      </c>
      <c r="E293" s="5">
        <v>2</v>
      </c>
      <c r="F293" s="24">
        <v>50.305999999999997</v>
      </c>
      <c r="G293" s="24">
        <v>-145.24799999999999</v>
      </c>
      <c r="H293" s="5">
        <v>7</v>
      </c>
      <c r="I293" s="25">
        <v>43334.272222222222</v>
      </c>
      <c r="J293" s="26">
        <v>43334.272222222222</v>
      </c>
      <c r="K293" s="7">
        <v>2.2609027800000003</v>
      </c>
      <c r="L293" s="7">
        <v>1.9853784419590088</v>
      </c>
      <c r="M293" s="7">
        <v>8.4428163882663471E-2</v>
      </c>
      <c r="N293" s="6">
        <v>1383.771422092412</v>
      </c>
      <c r="O293" s="6">
        <v>86.677900536330299</v>
      </c>
      <c r="P293" s="67">
        <v>1.918269400000006</v>
      </c>
      <c r="Q293" s="7">
        <v>0.34259976504164691</v>
      </c>
      <c r="R293" s="67">
        <v>2.6544463755943664</v>
      </c>
      <c r="S293" s="7">
        <v>0.50239213348755485</v>
      </c>
      <c r="T293" s="171">
        <f t="shared" si="8"/>
        <v>1.8768497496800878</v>
      </c>
      <c r="U293" s="171">
        <f t="shared" si="9"/>
        <v>0.43054652456741721</v>
      </c>
    </row>
    <row r="294" spans="1:21" s="42" customFormat="1">
      <c r="A294" s="5">
        <v>457</v>
      </c>
      <c r="B294" s="28">
        <v>110.947</v>
      </c>
      <c r="C294" s="5" t="s">
        <v>144</v>
      </c>
      <c r="D294" s="5">
        <v>43</v>
      </c>
      <c r="E294" s="5">
        <v>2</v>
      </c>
      <c r="F294" s="24">
        <v>50.305999999999997</v>
      </c>
      <c r="G294" s="24">
        <v>-145.24799999999999</v>
      </c>
      <c r="H294" s="5">
        <v>6</v>
      </c>
      <c r="I294" s="25">
        <v>43334.272222222222</v>
      </c>
      <c r="J294" s="26">
        <v>43334.272222222222</v>
      </c>
      <c r="K294" s="7">
        <v>2.2831623000000003</v>
      </c>
      <c r="L294" s="7">
        <v>2.4913312962095961</v>
      </c>
      <c r="M294" s="7">
        <v>9.1047539569113656E-2</v>
      </c>
      <c r="N294" s="6">
        <v>1298.1821231206077</v>
      </c>
      <c r="O294" s="6">
        <v>94.416087828093964</v>
      </c>
      <c r="P294" s="67">
        <v>1.5059353</v>
      </c>
      <c r="Q294" s="7">
        <v>0.27626753387990272</v>
      </c>
      <c r="R294" s="67">
        <v>1.9549782850362691</v>
      </c>
      <c r="S294" s="7">
        <v>0.38580187288360468</v>
      </c>
      <c r="T294" s="171">
        <f t="shared" si="8"/>
        <v>1.3822846596698513</v>
      </c>
      <c r="U294" s="171">
        <f t="shared" si="9"/>
        <v>0.32636864727926268</v>
      </c>
    </row>
    <row r="295" spans="1:21" s="42" customFormat="1">
      <c r="A295" s="5">
        <v>458</v>
      </c>
      <c r="B295" s="28">
        <v>124.53</v>
      </c>
      <c r="C295" s="5" t="s">
        <v>144</v>
      </c>
      <c r="D295" s="5">
        <v>43</v>
      </c>
      <c r="E295" s="5">
        <v>2</v>
      </c>
      <c r="F295" s="24">
        <v>50.305999999999997</v>
      </c>
      <c r="G295" s="24">
        <v>-145.24799999999999</v>
      </c>
      <c r="H295" s="5">
        <v>5</v>
      </c>
      <c r="I295" s="25">
        <v>43334.272222222222</v>
      </c>
      <c r="J295" s="26">
        <v>43334.272222222222</v>
      </c>
      <c r="K295" s="7">
        <v>2.2986936600000005</v>
      </c>
      <c r="L295" s="7">
        <v>2.1863541831898785</v>
      </c>
      <c r="M295" s="7">
        <v>8.5188421186966928E-2</v>
      </c>
      <c r="N295" s="6">
        <v>1355.1975216520418</v>
      </c>
      <c r="O295" s="6">
        <v>103.84461863340057</v>
      </c>
      <c r="P295" s="67">
        <v>1.3687470000000002</v>
      </c>
      <c r="Q295" s="7">
        <v>0.28636843977927007</v>
      </c>
      <c r="R295" s="67">
        <v>1.8549225421686675</v>
      </c>
      <c r="S295" s="7">
        <v>0.41329592029660422</v>
      </c>
      <c r="T295" s="171">
        <f t="shared" si="8"/>
        <v>1.3115393631433525</v>
      </c>
      <c r="U295" s="171">
        <f t="shared" si="9"/>
        <v>0.33807993905927486</v>
      </c>
    </row>
    <row r="296" spans="1:21" s="42" customFormat="1">
      <c r="A296" s="5">
        <v>459</v>
      </c>
      <c r="B296" s="28">
        <v>146.24100000000001</v>
      </c>
      <c r="C296" s="5" t="s">
        <v>144</v>
      </c>
      <c r="D296" s="5">
        <v>43</v>
      </c>
      <c r="E296" s="5">
        <v>2</v>
      </c>
      <c r="F296" s="24">
        <v>50.305999999999997</v>
      </c>
      <c r="G296" s="24">
        <v>-145.24799999999999</v>
      </c>
      <c r="H296" s="5">
        <v>4</v>
      </c>
      <c r="I296" s="25">
        <v>43334.272222222222</v>
      </c>
      <c r="J296" s="26">
        <v>43334.272222222222</v>
      </c>
      <c r="K296" s="7">
        <v>2.32852236</v>
      </c>
      <c r="L296" s="7">
        <v>2.341209231392829</v>
      </c>
      <c r="M296" s="7">
        <v>8.7810240667069897E-2</v>
      </c>
      <c r="N296" s="6">
        <v>1342.0868539474077</v>
      </c>
      <c r="O296" s="6">
        <v>137.90607076149576</v>
      </c>
      <c r="P296" s="67">
        <v>1.1494659</v>
      </c>
      <c r="Q296" s="7">
        <v>0.28783221214496441</v>
      </c>
      <c r="R296" s="67">
        <v>1.5426830734508254</v>
      </c>
      <c r="S296" s="7">
        <v>0.41755541713028976</v>
      </c>
      <c r="T296" s="171">
        <f t="shared" si="8"/>
        <v>1.0907676895878426</v>
      </c>
      <c r="U296" s="171">
        <f t="shared" si="9"/>
        <v>0.32734664011177722</v>
      </c>
    </row>
    <row r="297" spans="1:21" s="42" customFormat="1">
      <c r="A297" s="5">
        <v>460</v>
      </c>
      <c r="B297" s="28">
        <v>196.39400000000001</v>
      </c>
      <c r="C297" s="5" t="s">
        <v>144</v>
      </c>
      <c r="D297" s="5">
        <v>43</v>
      </c>
      <c r="E297" s="5">
        <v>2</v>
      </c>
      <c r="F297" s="24">
        <v>50.305999999999997</v>
      </c>
      <c r="G297" s="24">
        <v>-145.24799999999999</v>
      </c>
      <c r="H297" s="5">
        <v>3</v>
      </c>
      <c r="I297" s="25">
        <v>43334.272222222222</v>
      </c>
      <c r="J297" s="26">
        <v>43334.272222222222</v>
      </c>
      <c r="K297" s="7">
        <v>2.3378600399999998</v>
      </c>
      <c r="L297" s="7">
        <v>2.2584648357000527</v>
      </c>
      <c r="M297" s="7">
        <v>8.4984023466701183E-2</v>
      </c>
      <c r="N297" s="6">
        <v>1551.9455727376121</v>
      </c>
      <c r="O297" s="6">
        <v>263.58537621726725</v>
      </c>
      <c r="P297" s="67">
        <v>1.0331908000000001</v>
      </c>
      <c r="Q297" s="7">
        <v>7.5298007366753628E-2</v>
      </c>
      <c r="R297" s="67">
        <v>1.6034558878532319</v>
      </c>
      <c r="S297" s="7">
        <v>0.29634724154749958</v>
      </c>
      <c r="T297" s="171">
        <f t="shared" si="8"/>
        <v>1.13373764465916</v>
      </c>
      <c r="U297" s="171">
        <f t="shared" si="9"/>
        <v>0.25593433947660688</v>
      </c>
    </row>
    <row r="298" spans="1:21" s="42" customFormat="1">
      <c r="A298" s="5">
        <v>461</v>
      </c>
      <c r="B298" s="28">
        <v>330.053</v>
      </c>
      <c r="C298" s="5" t="s">
        <v>144</v>
      </c>
      <c r="D298" s="5">
        <v>43</v>
      </c>
      <c r="E298" s="5">
        <v>2</v>
      </c>
      <c r="F298" s="24">
        <v>50.305999999999997</v>
      </c>
      <c r="G298" s="24">
        <v>-145.24799999999999</v>
      </c>
      <c r="H298" s="5">
        <v>2</v>
      </c>
      <c r="I298" s="25">
        <v>43334.272222222222</v>
      </c>
      <c r="J298" s="26">
        <v>43334.272222222222</v>
      </c>
      <c r="K298" s="7">
        <v>2.3512456200000003</v>
      </c>
      <c r="L298" s="7">
        <v>2.3322244753773917</v>
      </c>
      <c r="M298" s="7">
        <v>9.3197624362650278E-2</v>
      </c>
      <c r="N298" s="6">
        <v>1634.5405389408636</v>
      </c>
      <c r="O298" s="6">
        <v>482.96037078139602</v>
      </c>
      <c r="P298" s="67">
        <v>0.93978100734870584</v>
      </c>
      <c r="Q298" s="7">
        <v>0.1503684181233878</v>
      </c>
      <c r="R298" s="67">
        <v>1.5361101542381415</v>
      </c>
      <c r="S298" s="7">
        <v>0.51615282112653904</v>
      </c>
      <c r="T298" s="171">
        <f t="shared" si="8"/>
        <v>1.0861202490170265</v>
      </c>
      <c r="U298" s="171">
        <f t="shared" si="9"/>
        <v>0.39116517276504986</v>
      </c>
    </row>
    <row r="299" spans="1:21" s="42" customFormat="1">
      <c r="A299" s="5">
        <v>462</v>
      </c>
      <c r="B299" s="28">
        <v>498.36</v>
      </c>
      <c r="C299" s="5" t="s">
        <v>144</v>
      </c>
      <c r="D299" s="5">
        <v>43</v>
      </c>
      <c r="E299" s="5">
        <v>2</v>
      </c>
      <c r="F299" s="24">
        <v>50.305999999999997</v>
      </c>
      <c r="G299" s="24">
        <v>-145.24799999999999</v>
      </c>
      <c r="H299" s="5">
        <v>1</v>
      </c>
      <c r="I299" s="25">
        <v>43334.272222222222</v>
      </c>
      <c r="J299" s="26">
        <v>43334.272222222222</v>
      </c>
      <c r="K299" s="7">
        <v>2.3653700400000002</v>
      </c>
      <c r="L299" s="7">
        <v>2.4920338246461542</v>
      </c>
      <c r="M299" s="7">
        <v>9.1032392844444435E-2</v>
      </c>
      <c r="N299" s="6">
        <v>1327.9819238977723</v>
      </c>
      <c r="O299" s="6">
        <v>530.84113939227507</v>
      </c>
      <c r="P299" s="68">
        <v>0.87680272990205399</v>
      </c>
      <c r="Q299" s="7">
        <v>0.15828163628098546</v>
      </c>
      <c r="R299" s="67">
        <v>1.1643781761341483</v>
      </c>
      <c r="S299" s="7">
        <v>0.51070456335707903</v>
      </c>
      <c r="T299" s="171">
        <f t="shared" si="8"/>
        <v>0.82328387135754477</v>
      </c>
      <c r="U299" s="171">
        <f t="shared" si="9"/>
        <v>0.3765377503170253</v>
      </c>
    </row>
    <row r="300" spans="1:21" s="42" customFormat="1">
      <c r="A300" s="5">
        <v>505</v>
      </c>
      <c r="B300" s="28">
        <v>5.5460000000000003</v>
      </c>
      <c r="C300" s="5" t="s">
        <v>139</v>
      </c>
      <c r="D300" s="5">
        <v>44</v>
      </c>
      <c r="E300" s="5">
        <v>2</v>
      </c>
      <c r="F300" s="24">
        <v>50.23</v>
      </c>
      <c r="G300" s="24">
        <v>-145.50200000000001</v>
      </c>
      <c r="H300" s="5">
        <v>23</v>
      </c>
      <c r="I300" s="25">
        <v>43334.661111111112</v>
      </c>
      <c r="J300" s="26">
        <v>43334.661111111112</v>
      </c>
      <c r="K300" s="7">
        <v>2.2236935400000006</v>
      </c>
      <c r="L300" s="7">
        <v>0.97959874524455959</v>
      </c>
      <c r="M300" s="7">
        <v>5.053254338895339E-2</v>
      </c>
      <c r="N300" s="6">
        <v>376.47890977878586</v>
      </c>
      <c r="O300" s="6">
        <v>15.291790403449204</v>
      </c>
      <c r="P300" s="7">
        <v>5.3045246601367619</v>
      </c>
      <c r="Q300" s="7">
        <v>1.8998610814664527</v>
      </c>
      <c r="R300" s="67">
        <v>1.9970416609429729</v>
      </c>
      <c r="S300" s="7">
        <v>0.71984250278404538</v>
      </c>
      <c r="T300" s="171">
        <f t="shared" si="8"/>
        <v>1.412025941041007</v>
      </c>
      <c r="U300" s="171">
        <f t="shared" si="9"/>
        <v>0.54088162328712752</v>
      </c>
    </row>
    <row r="301" spans="1:21" s="42" customFormat="1">
      <c r="A301" s="5">
        <v>504</v>
      </c>
      <c r="B301" s="28">
        <v>15.497999999999999</v>
      </c>
      <c r="C301" s="5" t="s">
        <v>139</v>
      </c>
      <c r="D301" s="5">
        <v>44</v>
      </c>
      <c r="E301" s="5">
        <v>2</v>
      </c>
      <c r="F301" s="24">
        <v>50.23</v>
      </c>
      <c r="G301" s="24">
        <v>-145.50200000000001</v>
      </c>
      <c r="H301" s="5">
        <v>19</v>
      </c>
      <c r="I301" s="25">
        <v>43334.661111111112</v>
      </c>
      <c r="J301" s="26">
        <v>43334.661111111112</v>
      </c>
      <c r="K301" s="7">
        <v>2.2236778199999998</v>
      </c>
      <c r="L301" s="7">
        <v>1.3268271263503988</v>
      </c>
      <c r="M301" s="7">
        <v>5.8407120988101059E-2</v>
      </c>
      <c r="N301" s="6">
        <v>637.65024422905481</v>
      </c>
      <c r="O301" s="6">
        <v>22.87213982418287</v>
      </c>
      <c r="P301" s="7">
        <v>5.3045246601367619</v>
      </c>
      <c r="Q301" s="7">
        <v>1.8998610814664527</v>
      </c>
      <c r="R301" s="67">
        <v>3.38243144505525</v>
      </c>
      <c r="S301" s="7">
        <v>1.2175070867622677</v>
      </c>
      <c r="T301" s="171">
        <f t="shared" si="8"/>
        <v>2.3915780214397926</v>
      </c>
      <c r="U301" s="171">
        <f t="shared" si="9"/>
        <v>0.91496806022765442</v>
      </c>
    </row>
    <row r="302" spans="1:21" s="42" customFormat="1">
      <c r="A302" s="5">
        <v>503</v>
      </c>
      <c r="B302" s="28">
        <v>25.796999999999901</v>
      </c>
      <c r="C302" s="5" t="s">
        <v>139</v>
      </c>
      <c r="D302" s="5">
        <v>44</v>
      </c>
      <c r="E302" s="5">
        <v>2</v>
      </c>
      <c r="F302" s="24">
        <v>50.23</v>
      </c>
      <c r="G302" s="24">
        <v>-145.50200000000001</v>
      </c>
      <c r="H302" s="5">
        <v>16</v>
      </c>
      <c r="I302" s="25">
        <v>43334.661111111112</v>
      </c>
      <c r="J302" s="26">
        <v>43334.661111111112</v>
      </c>
      <c r="K302" s="7">
        <v>2.2237013999999999</v>
      </c>
      <c r="L302" s="7">
        <v>1.2457061833083836</v>
      </c>
      <c r="M302" s="7">
        <v>5.6237817174019801E-2</v>
      </c>
      <c r="N302" s="6">
        <v>1133.0536038847672</v>
      </c>
      <c r="O302" s="6">
        <v>36.532981486474434</v>
      </c>
      <c r="P302" s="7">
        <v>5.3045246601367619</v>
      </c>
      <c r="Q302" s="7">
        <v>1.8998610814664527</v>
      </c>
      <c r="R302" s="67">
        <v>6.010310783063578</v>
      </c>
      <c r="S302" s="7">
        <v>2.1613497428527606</v>
      </c>
      <c r="T302" s="171">
        <f t="shared" si="8"/>
        <v>4.2496433125971746</v>
      </c>
      <c r="U302" s="171">
        <f t="shared" si="9"/>
        <v>1.6244527911482833</v>
      </c>
    </row>
    <row r="303" spans="1:21" s="42" customFormat="1">
      <c r="A303" s="5">
        <v>502</v>
      </c>
      <c r="B303" s="28">
        <v>50.723999999999997</v>
      </c>
      <c r="C303" s="5" t="s">
        <v>139</v>
      </c>
      <c r="D303" s="5">
        <v>44</v>
      </c>
      <c r="E303" s="5">
        <v>2</v>
      </c>
      <c r="F303" s="24">
        <v>50.23</v>
      </c>
      <c r="G303" s="24">
        <v>-145.50200000000001</v>
      </c>
      <c r="H303" s="5">
        <v>13</v>
      </c>
      <c r="I303" s="25">
        <v>43334.661111111112</v>
      </c>
      <c r="J303" s="26">
        <v>43334.661111111112</v>
      </c>
      <c r="K303" s="7">
        <v>2.2401288000000004</v>
      </c>
      <c r="L303" s="7">
        <v>1.5676771392526623</v>
      </c>
      <c r="M303" s="7">
        <v>6.880459886739515E-2</v>
      </c>
      <c r="N303" s="6">
        <v>1612.2045831202897</v>
      </c>
      <c r="O303" s="6">
        <v>61.141091311268703</v>
      </c>
      <c r="P303" s="67">
        <v>5.2505411999999989</v>
      </c>
      <c r="Q303" s="7">
        <v>1.8657267009452203</v>
      </c>
      <c r="R303" s="67">
        <v>8.4649465865019042</v>
      </c>
      <c r="S303" s="7">
        <v>3.0250153810669511</v>
      </c>
      <c r="T303" s="171">
        <f t="shared" si="8"/>
        <v>5.9852152328275992</v>
      </c>
      <c r="U303" s="171">
        <f t="shared" si="9"/>
        <v>2.275226851553362</v>
      </c>
    </row>
    <row r="304" spans="1:21" s="42" customFormat="1">
      <c r="A304" s="5">
        <v>501</v>
      </c>
      <c r="B304" s="28">
        <v>75.347999999999999</v>
      </c>
      <c r="C304" s="5" t="s">
        <v>139</v>
      </c>
      <c r="D304" s="5">
        <v>44</v>
      </c>
      <c r="E304" s="5">
        <v>2</v>
      </c>
      <c r="F304" s="24">
        <v>50.23</v>
      </c>
      <c r="G304" s="24">
        <v>-145.50200000000001</v>
      </c>
      <c r="H304" s="5">
        <v>11</v>
      </c>
      <c r="I304" s="25">
        <v>43334.661111111112</v>
      </c>
      <c r="J304" s="26">
        <v>43334.661111111112</v>
      </c>
      <c r="K304" s="7">
        <v>2.2452535200000003</v>
      </c>
      <c r="L304" s="7">
        <v>1.7855852534211794</v>
      </c>
      <c r="M304" s="7">
        <v>7.2487503353884902E-2</v>
      </c>
      <c r="N304" s="6">
        <v>1912.3528105301934</v>
      </c>
      <c r="O304" s="6">
        <v>77.321061717066669</v>
      </c>
      <c r="P304" s="67">
        <v>3.4357523999999993</v>
      </c>
      <c r="Q304" s="7">
        <v>0.89015076988420305</v>
      </c>
      <c r="R304" s="67">
        <v>6.5703707584258559</v>
      </c>
      <c r="S304" s="7">
        <v>1.7228866016511943</v>
      </c>
      <c r="T304" s="171">
        <f t="shared" si="8"/>
        <v>4.645638663729164</v>
      </c>
      <c r="U304" s="171">
        <f t="shared" si="9"/>
        <v>1.3588974818301862</v>
      </c>
    </row>
    <row r="305" spans="1:21" s="42" customFormat="1">
      <c r="A305" s="5">
        <v>500</v>
      </c>
      <c r="B305" s="28">
        <v>96.132000000000005</v>
      </c>
      <c r="C305" s="5" t="s">
        <v>139</v>
      </c>
      <c r="D305" s="5">
        <v>44</v>
      </c>
      <c r="E305" s="5">
        <v>2</v>
      </c>
      <c r="F305" s="24">
        <v>50.23</v>
      </c>
      <c r="G305" s="24">
        <v>-145.50200000000001</v>
      </c>
      <c r="H305" s="5">
        <v>8</v>
      </c>
      <c r="I305" s="25">
        <v>43334.661111111112</v>
      </c>
      <c r="J305" s="26">
        <v>43334.661111111112</v>
      </c>
      <c r="K305" s="7">
        <v>2.2512192600000001</v>
      </c>
      <c r="L305" s="7">
        <v>2.328216809414736</v>
      </c>
      <c r="M305" s="7">
        <v>8.5540142707433625E-2</v>
      </c>
      <c r="N305" s="6">
        <v>1873.2998859996385</v>
      </c>
      <c r="O305" s="6">
        <v>88.661523376400524</v>
      </c>
      <c r="P305" s="67">
        <v>1.9039715999999984</v>
      </c>
      <c r="Q305" s="7">
        <v>0.33860233219165892</v>
      </c>
      <c r="R305" s="67">
        <v>3.5667097812265465</v>
      </c>
      <c r="S305" s="7">
        <v>0.65638226893874219</v>
      </c>
      <c r="T305" s="171">
        <f t="shared" si="8"/>
        <v>2.5218736462806288</v>
      </c>
      <c r="U305" s="171">
        <f t="shared" si="9"/>
        <v>0.56767246863656373</v>
      </c>
    </row>
    <row r="306" spans="1:21" s="42" customFormat="1">
      <c r="A306" s="5">
        <v>499</v>
      </c>
      <c r="B306" s="28">
        <v>110.619</v>
      </c>
      <c r="C306" s="5" t="s">
        <v>139</v>
      </c>
      <c r="D306" s="5">
        <v>44</v>
      </c>
      <c r="E306" s="5">
        <v>2</v>
      </c>
      <c r="F306" s="24">
        <v>50.23</v>
      </c>
      <c r="G306" s="24">
        <v>-145.50200000000001</v>
      </c>
      <c r="H306" s="5">
        <v>7</v>
      </c>
      <c r="I306" s="25">
        <v>43334.661111111112</v>
      </c>
      <c r="J306" s="26">
        <v>43334.661111111112</v>
      </c>
      <c r="K306" s="7">
        <v>2.2684090800000005</v>
      </c>
      <c r="L306" s="7">
        <v>1.7396625172483642</v>
      </c>
      <c r="M306" s="7">
        <v>6.9958324213087744E-2</v>
      </c>
      <c r="N306" s="6">
        <v>2098.5118704531942</v>
      </c>
      <c r="O306" s="6">
        <v>93.534865607057412</v>
      </c>
      <c r="P306" s="67">
        <v>1.5092481000000002</v>
      </c>
      <c r="Q306" s="7">
        <v>0.27593619687028836</v>
      </c>
      <c r="R306" s="67">
        <v>3.16717505330893</v>
      </c>
      <c r="S306" s="7">
        <v>0.59601455534705539</v>
      </c>
      <c r="T306" s="171">
        <f t="shared" si="8"/>
        <v>2.239379088856098</v>
      </c>
      <c r="U306" s="171">
        <f t="shared" si="9"/>
        <v>0.51171762779135743</v>
      </c>
    </row>
    <row r="307" spans="1:21" s="42" customFormat="1">
      <c r="A307" s="5">
        <v>498</v>
      </c>
      <c r="B307" s="28">
        <v>125.752</v>
      </c>
      <c r="C307" s="5" t="s">
        <v>139</v>
      </c>
      <c r="D307" s="5">
        <v>44</v>
      </c>
      <c r="E307" s="5">
        <v>2</v>
      </c>
      <c r="F307" s="24">
        <v>50.23</v>
      </c>
      <c r="G307" s="24">
        <v>-145.50200000000001</v>
      </c>
      <c r="H307" s="5">
        <v>6</v>
      </c>
      <c r="I307" s="25">
        <v>43334.661111111112</v>
      </c>
      <c r="J307" s="26">
        <v>43334.661111111112</v>
      </c>
      <c r="K307" s="7">
        <v>2.2857718200000003</v>
      </c>
      <c r="L307" s="7">
        <v>2.3874845853334534</v>
      </c>
      <c r="M307" s="7">
        <v>8.8088199300491499E-2</v>
      </c>
      <c r="N307" s="6">
        <v>2040.4191493708618</v>
      </c>
      <c r="O307" s="6">
        <v>106.20724989203732</v>
      </c>
      <c r="P307" s="67">
        <v>1.3564048000000002</v>
      </c>
      <c r="Q307" s="7">
        <v>0.28693054006181123</v>
      </c>
      <c r="R307" s="67">
        <v>2.7676343282185543</v>
      </c>
      <c r="S307" s="7">
        <v>0.60292207273667964</v>
      </c>
      <c r="T307" s="171">
        <f t="shared" si="8"/>
        <v>1.9568802910776102</v>
      </c>
      <c r="U307" s="171">
        <f t="shared" si="9"/>
        <v>0.4960611649568018</v>
      </c>
    </row>
    <row r="308" spans="1:21" s="42" customFormat="1">
      <c r="A308" s="5" t="s">
        <v>145</v>
      </c>
      <c r="B308" s="28">
        <v>150.33699999999999</v>
      </c>
      <c r="C308" s="5" t="s">
        <v>139</v>
      </c>
      <c r="D308" s="5">
        <v>44</v>
      </c>
      <c r="E308" s="5">
        <v>2</v>
      </c>
      <c r="F308" s="24">
        <v>50.23</v>
      </c>
      <c r="G308" s="24">
        <v>-145.50200000000001</v>
      </c>
      <c r="H308" s="5">
        <v>5</v>
      </c>
      <c r="I308" s="25">
        <v>43334.661111111112</v>
      </c>
      <c r="J308" s="26">
        <v>43334.661111111112</v>
      </c>
      <c r="K308" s="7">
        <v>2.3219985599999999</v>
      </c>
      <c r="L308" s="7">
        <v>2.3007260610780946</v>
      </c>
      <c r="M308" s="7">
        <v>1.1998282603266457E-2</v>
      </c>
      <c r="N308" s="6">
        <v>2062.056882208507</v>
      </c>
      <c r="O308" s="6">
        <v>106.90614806959218</v>
      </c>
      <c r="P308" s="67">
        <v>1.1169601976727355</v>
      </c>
      <c r="Q308" s="7">
        <v>0.28766856890476489</v>
      </c>
      <c r="R308" s="67">
        <v>2.3032354627640386</v>
      </c>
      <c r="S308" s="7">
        <v>0.60508830784245682</v>
      </c>
      <c r="T308" s="171">
        <f t="shared" si="8"/>
        <v>1.6285229724315102</v>
      </c>
      <c r="U308" s="171">
        <f t="shared" si="9"/>
        <v>0.47707782027899992</v>
      </c>
    </row>
    <row r="309" spans="1:21" s="42" customFormat="1">
      <c r="A309" s="5">
        <v>496</v>
      </c>
      <c r="B309" s="28">
        <v>196.48699999999999</v>
      </c>
      <c r="C309" s="5" t="s">
        <v>139</v>
      </c>
      <c r="D309" s="5">
        <v>44</v>
      </c>
      <c r="E309" s="5">
        <v>2</v>
      </c>
      <c r="F309" s="24">
        <v>50.23</v>
      </c>
      <c r="G309" s="24">
        <v>-145.50200000000001</v>
      </c>
      <c r="H309" s="5">
        <v>3</v>
      </c>
      <c r="I309" s="25">
        <v>43334.661111111112</v>
      </c>
      <c r="J309" s="26">
        <v>43334.661111111112</v>
      </c>
      <c r="K309" s="7">
        <v>2.3335606200000001</v>
      </c>
      <c r="L309" s="7">
        <v>2.2338433594838656</v>
      </c>
      <c r="M309" s="7">
        <v>9.1195259060729381E-2</v>
      </c>
      <c r="N309" s="6">
        <v>2320.3285078279778</v>
      </c>
      <c r="O309" s="6">
        <v>259.26634376888302</v>
      </c>
      <c r="P309" s="67">
        <v>1.0330234</v>
      </c>
      <c r="Q309" s="7">
        <v>7.490325198312453E-2</v>
      </c>
      <c r="R309" s="67">
        <v>2.3969536442733843</v>
      </c>
      <c r="S309" s="7">
        <v>0.31927799351179359</v>
      </c>
      <c r="T309" s="171">
        <f t="shared" si="8"/>
        <v>1.6947872402364696</v>
      </c>
      <c r="U309" s="171">
        <f t="shared" si="9"/>
        <v>0.31499949036220465</v>
      </c>
    </row>
    <row r="310" spans="1:21" s="42" customFormat="1">
      <c r="A310" s="5">
        <v>495</v>
      </c>
      <c r="B310" s="28">
        <v>330.450999999999</v>
      </c>
      <c r="C310" s="5" t="s">
        <v>139</v>
      </c>
      <c r="D310" s="5">
        <v>44</v>
      </c>
      <c r="E310" s="5">
        <v>2</v>
      </c>
      <c r="F310" s="24">
        <v>50.23</v>
      </c>
      <c r="G310" s="24">
        <v>-145.50200000000001</v>
      </c>
      <c r="H310" s="5">
        <v>2</v>
      </c>
      <c r="I310" s="25">
        <v>43334.661111111112</v>
      </c>
      <c r="J310" s="26">
        <v>43334.661111111112</v>
      </c>
      <c r="K310" s="7">
        <v>2.3500116000000002</v>
      </c>
      <c r="L310" s="7">
        <v>2.2952871367880769</v>
      </c>
      <c r="M310" s="7">
        <v>9.1428776770738018E-2</v>
      </c>
      <c r="N310" s="6">
        <v>2425.7498407201811</v>
      </c>
      <c r="O310" s="6">
        <v>313.4331243768948</v>
      </c>
      <c r="P310" s="67">
        <v>0.93978100734870584</v>
      </c>
      <c r="Q310" s="7">
        <v>0.1503684181233878</v>
      </c>
      <c r="R310" s="67">
        <v>2.2796736288879749</v>
      </c>
      <c r="S310" s="7">
        <v>0.4688408783710164</v>
      </c>
      <c r="T310" s="171">
        <f t="shared" si="8"/>
        <v>1.6118633697290854</v>
      </c>
      <c r="U310" s="171">
        <f t="shared" si="9"/>
        <v>0.39184953149034657</v>
      </c>
    </row>
    <row r="311" spans="1:21" s="42" customFormat="1">
      <c r="A311" s="5">
        <v>519</v>
      </c>
      <c r="B311" s="28">
        <v>5.9529999999999896</v>
      </c>
      <c r="C311" s="5" t="s">
        <v>146</v>
      </c>
      <c r="D311" s="5">
        <v>45</v>
      </c>
      <c r="E311" s="5">
        <v>2</v>
      </c>
      <c r="F311" s="24">
        <v>50.152999999999999</v>
      </c>
      <c r="G311" s="24">
        <v>-145.756</v>
      </c>
      <c r="H311" s="5">
        <v>13</v>
      </c>
      <c r="I311" s="25">
        <v>43334.758333333331</v>
      </c>
      <c r="J311" s="26">
        <v>43334.758333333331</v>
      </c>
      <c r="K311" s="7">
        <v>2.2226953200000001</v>
      </c>
      <c r="L311" s="7">
        <v>1.0490013444125941</v>
      </c>
      <c r="M311" s="7">
        <v>5.1992125338114592E-2</v>
      </c>
      <c r="N311" s="6">
        <v>448.13720468427795</v>
      </c>
      <c r="O311" s="6">
        <v>19.851516834238147</v>
      </c>
      <c r="P311" s="7">
        <v>5.3045246601367619</v>
      </c>
      <c r="Q311" s="7">
        <v>1.8998610814664527</v>
      </c>
      <c r="R311" s="67">
        <v>2.3771548533725082</v>
      </c>
      <c r="S311" s="7">
        <v>0.8578857653786337</v>
      </c>
      <c r="T311" s="171">
        <f t="shared" si="8"/>
        <v>1.6807883302988156</v>
      </c>
      <c r="U311" s="171">
        <f t="shared" si="9"/>
        <v>0.64451723024221419</v>
      </c>
    </row>
    <row r="312" spans="1:21" s="42" customFormat="1">
      <c r="A312" s="5">
        <v>507</v>
      </c>
      <c r="B312" s="28">
        <v>20.599</v>
      </c>
      <c r="C312" s="5" t="s">
        <v>146</v>
      </c>
      <c r="D312" s="5">
        <v>45</v>
      </c>
      <c r="E312" s="5">
        <v>2</v>
      </c>
      <c r="F312" s="24">
        <v>50.152999999999999</v>
      </c>
      <c r="G312" s="24">
        <v>-145.756</v>
      </c>
      <c r="H312" s="5">
        <v>12</v>
      </c>
      <c r="I312" s="25">
        <v>43334.758333333331</v>
      </c>
      <c r="J312" s="26">
        <v>43334.758333333331</v>
      </c>
      <c r="K312" s="7">
        <v>2.2226953200000001</v>
      </c>
      <c r="L312" s="7">
        <v>1.3589975751663816</v>
      </c>
      <c r="M312" s="7">
        <v>6.2946636525417002E-2</v>
      </c>
      <c r="N312" s="6">
        <v>817.0228397078597</v>
      </c>
      <c r="O312" s="6">
        <v>33.41946740893183</v>
      </c>
      <c r="P312" s="7">
        <v>5.3045246601367619</v>
      </c>
      <c r="Q312" s="7">
        <v>1.8998610814664527</v>
      </c>
      <c r="R312" s="67">
        <v>4.333917801125307</v>
      </c>
      <c r="S312" s="7">
        <v>1.5623200243560889</v>
      </c>
      <c r="T312" s="171">
        <f t="shared" si="8"/>
        <v>3.0643348515016697</v>
      </c>
      <c r="U312" s="171">
        <f t="shared" si="9"/>
        <v>1.1738977700945452</v>
      </c>
    </row>
    <row r="313" spans="1:21" s="42" customFormat="1">
      <c r="A313" s="5">
        <v>508</v>
      </c>
      <c r="B313" s="28">
        <v>35.654000000000003</v>
      </c>
      <c r="C313" s="5" t="s">
        <v>146</v>
      </c>
      <c r="D313" s="5">
        <v>45</v>
      </c>
      <c r="E313" s="5">
        <v>2</v>
      </c>
      <c r="F313" s="24">
        <v>50.152999999999999</v>
      </c>
      <c r="G313" s="24">
        <v>-145.756</v>
      </c>
      <c r="H313" s="5">
        <v>11</v>
      </c>
      <c r="I313" s="25">
        <v>43334.758333333331</v>
      </c>
      <c r="J313" s="26">
        <v>43334.758333333331</v>
      </c>
      <c r="K313" s="7">
        <v>2.2398301200000001</v>
      </c>
      <c r="L313" s="7">
        <v>1.3508901559954265</v>
      </c>
      <c r="M313" s="7">
        <v>6.6470175237894571E-2</v>
      </c>
      <c r="N313" s="6">
        <v>1200.6393697462554</v>
      </c>
      <c r="O313" s="6">
        <v>44.041776695386766</v>
      </c>
      <c r="P313" s="7">
        <v>5.3045246601367619</v>
      </c>
      <c r="Q313" s="7">
        <v>1.8998610814664527</v>
      </c>
      <c r="R313" s="67">
        <v>6.368821144750072</v>
      </c>
      <c r="S313" s="7">
        <v>2.2929803003143503</v>
      </c>
      <c r="T313" s="171">
        <f t="shared" si="8"/>
        <v>4.503131229616538</v>
      </c>
      <c r="U313" s="171">
        <f t="shared" si="9"/>
        <v>1.7231513423348308</v>
      </c>
    </row>
    <row r="314" spans="1:21" s="42" customFormat="1">
      <c r="A314" s="5">
        <v>509</v>
      </c>
      <c r="B314" s="28">
        <v>50.608999999999902</v>
      </c>
      <c r="C314" s="5" t="s">
        <v>146</v>
      </c>
      <c r="D314" s="5">
        <v>45</v>
      </c>
      <c r="E314" s="5">
        <v>2</v>
      </c>
      <c r="F314" s="24">
        <v>50.152999999999999</v>
      </c>
      <c r="G314" s="24">
        <v>-145.756</v>
      </c>
      <c r="H314" s="5">
        <v>10</v>
      </c>
      <c r="I314" s="25">
        <v>43334.758333333331</v>
      </c>
      <c r="J314" s="26">
        <v>43334.758333333331</v>
      </c>
      <c r="K314" s="7">
        <v>2.2440902400000002</v>
      </c>
      <c r="L314" s="7">
        <v>1.6787025887073135</v>
      </c>
      <c r="M314" s="7">
        <v>7.5093903384704092E-2</v>
      </c>
      <c r="N314" s="6">
        <v>1444.0923071460875</v>
      </c>
      <c r="O314" s="6">
        <v>54.63728394105145</v>
      </c>
      <c r="P314" s="67">
        <v>5.2590167000000063</v>
      </c>
      <c r="Q314" s="7">
        <v>1.8711024962043015</v>
      </c>
      <c r="R314" s="67">
        <v>7.5945055596228119</v>
      </c>
      <c r="S314" s="7">
        <v>2.7172797099322095</v>
      </c>
      <c r="T314" s="171">
        <f t="shared" si="8"/>
        <v>5.3697622184326486</v>
      </c>
      <c r="U314" s="171">
        <f t="shared" si="9"/>
        <v>2.0434768979162858</v>
      </c>
    </row>
    <row r="315" spans="1:21" s="42" customFormat="1">
      <c r="A315" s="5">
        <v>510</v>
      </c>
      <c r="B315" s="28">
        <v>65.597999999999999</v>
      </c>
      <c r="C315" s="5" t="s">
        <v>146</v>
      </c>
      <c r="D315" s="5">
        <v>45</v>
      </c>
      <c r="E315" s="5">
        <v>2</v>
      </c>
      <c r="F315" s="24">
        <v>50.152999999999999</v>
      </c>
      <c r="G315" s="24">
        <v>-145.756</v>
      </c>
      <c r="H315" s="5">
        <v>9</v>
      </c>
      <c r="I315" s="25">
        <v>43334.758333333331</v>
      </c>
      <c r="J315" s="26">
        <v>43334.758333333331</v>
      </c>
      <c r="K315" s="7">
        <v>2.2469119799999997</v>
      </c>
      <c r="L315" s="7">
        <v>1.9306502686437863</v>
      </c>
      <c r="M315" s="7">
        <v>8.2770994996299807E-2</v>
      </c>
      <c r="N315" s="6">
        <v>1578.9995340396329</v>
      </c>
      <c r="O315" s="6">
        <v>65.052680518628279</v>
      </c>
      <c r="P315" s="67">
        <v>4.1543273999999988</v>
      </c>
      <c r="Q315" s="7">
        <v>1.2346553768066528</v>
      </c>
      <c r="R315" s="67">
        <v>6.5596810288480771</v>
      </c>
      <c r="S315" s="7">
        <v>1.9681626957240181</v>
      </c>
      <c r="T315" s="171">
        <f t="shared" si="8"/>
        <v>4.6380803960366368</v>
      </c>
      <c r="U315" s="171">
        <f t="shared" si="9"/>
        <v>1.5159238203872514</v>
      </c>
    </row>
    <row r="316" spans="1:21" s="42" customFormat="1">
      <c r="A316" s="5">
        <v>511</v>
      </c>
      <c r="B316" s="28">
        <v>80.272999999999996</v>
      </c>
      <c r="C316" s="5" t="s">
        <v>146</v>
      </c>
      <c r="D316" s="5">
        <v>45</v>
      </c>
      <c r="E316" s="5">
        <v>2</v>
      </c>
      <c r="F316" s="24">
        <v>50.152999999999999</v>
      </c>
      <c r="G316" s="24">
        <v>-145.756</v>
      </c>
      <c r="H316" s="5">
        <v>8</v>
      </c>
      <c r="I316" s="25">
        <v>43334.758333333331</v>
      </c>
      <c r="J316" s="26">
        <v>43334.758333333331</v>
      </c>
      <c r="K316" s="7">
        <v>2.2489241400000002</v>
      </c>
      <c r="L316" s="7">
        <v>2.1350386330542479</v>
      </c>
      <c r="M316" s="7">
        <v>0.1101749781989754</v>
      </c>
      <c r="N316" s="6">
        <v>1628.2885960742487</v>
      </c>
      <c r="O316" s="6">
        <v>80.656899252289364</v>
      </c>
      <c r="P316" s="67">
        <v>3.0727798999999996</v>
      </c>
      <c r="Q316" s="7">
        <v>0.73695353933025554</v>
      </c>
      <c r="R316" s="67">
        <v>5.0033724694161705</v>
      </c>
      <c r="S316" s="7">
        <v>1.2253001335514275</v>
      </c>
      <c r="T316" s="171">
        <f t="shared" si="8"/>
        <v>3.5376786862674159</v>
      </c>
      <c r="U316" s="171">
        <f t="shared" si="9"/>
        <v>0.98023807367318649</v>
      </c>
    </row>
    <row r="317" spans="1:21" s="42" customFormat="1">
      <c r="A317" s="5">
        <v>512</v>
      </c>
      <c r="B317" s="28">
        <v>95.694999999999993</v>
      </c>
      <c r="C317" s="5" t="s">
        <v>146</v>
      </c>
      <c r="D317" s="5">
        <v>45</v>
      </c>
      <c r="E317" s="5">
        <v>2</v>
      </c>
      <c r="F317" s="24">
        <v>50.152999999999999</v>
      </c>
      <c r="G317" s="24">
        <v>-145.756</v>
      </c>
      <c r="H317" s="5">
        <v>7</v>
      </c>
      <c r="I317" s="25">
        <v>43334.758333333331</v>
      </c>
      <c r="J317" s="26">
        <v>43334.758333333331</v>
      </c>
      <c r="K317" s="7">
        <v>2.2645341000000001</v>
      </c>
      <c r="L317" s="7">
        <v>2.1405871511810157</v>
      </c>
      <c r="M317" s="7">
        <v>8.178037402986138E-2</v>
      </c>
      <c r="N317" s="6">
        <v>1682.0248810062374</v>
      </c>
      <c r="O317" s="6">
        <v>88.10568715020959</v>
      </c>
      <c r="P317" s="67">
        <v>1.9361784999999996</v>
      </c>
      <c r="Q317" s="7">
        <v>0.34763745168173243</v>
      </c>
      <c r="R317" s="67">
        <v>3.2567004110693341</v>
      </c>
      <c r="S317" s="7">
        <v>0.60911018523056648</v>
      </c>
      <c r="T317" s="171">
        <f t="shared" si="8"/>
        <v>2.3026787836050686</v>
      </c>
      <c r="U317" s="171">
        <f t="shared" si="9"/>
        <v>0.52399975629658646</v>
      </c>
    </row>
    <row r="318" spans="1:21" s="42" customFormat="1">
      <c r="A318" s="5">
        <v>513</v>
      </c>
      <c r="B318" s="28">
        <v>110.422</v>
      </c>
      <c r="C318" s="5" t="s">
        <v>146</v>
      </c>
      <c r="D318" s="5">
        <v>45</v>
      </c>
      <c r="E318" s="5">
        <v>2</v>
      </c>
      <c r="F318" s="24">
        <v>50.152999999999999</v>
      </c>
      <c r="G318" s="24">
        <v>-145.756</v>
      </c>
      <c r="H318" s="5">
        <v>6</v>
      </c>
      <c r="I318" s="25">
        <v>43334.758333333331</v>
      </c>
      <c r="J318" s="26">
        <v>43334.758333333331</v>
      </c>
      <c r="K318" s="7">
        <v>2.2894974600000002</v>
      </c>
      <c r="L318" s="7">
        <v>2.2194658713820781</v>
      </c>
      <c r="M318" s="7">
        <v>8.7504093483224063E-2</v>
      </c>
      <c r="N318" s="6">
        <v>1711.6906849355832</v>
      </c>
      <c r="O318" s="6">
        <v>95.58553268800587</v>
      </c>
      <c r="P318" s="67">
        <v>1.5112378000000002</v>
      </c>
      <c r="Q318" s="7">
        <v>0.27573521103778525</v>
      </c>
      <c r="R318" s="67">
        <v>2.5867716649825443</v>
      </c>
      <c r="S318" s="7">
        <v>0.4935842370979423</v>
      </c>
      <c r="T318" s="171">
        <f t="shared" si="8"/>
        <v>1.8289997479474174</v>
      </c>
      <c r="U318" s="171">
        <f t="shared" si="9"/>
        <v>0.42190655893707296</v>
      </c>
    </row>
    <row r="319" spans="1:21" s="42" customFormat="1">
      <c r="A319" s="5">
        <v>514</v>
      </c>
      <c r="B319" s="28">
        <v>125.152999999999</v>
      </c>
      <c r="C319" s="5" t="s">
        <v>146</v>
      </c>
      <c r="D319" s="5">
        <v>45</v>
      </c>
      <c r="E319" s="5">
        <v>2</v>
      </c>
      <c r="F319" s="24">
        <v>50.152999999999999</v>
      </c>
      <c r="G319" s="24">
        <v>-145.756</v>
      </c>
      <c r="H319" s="5">
        <v>5</v>
      </c>
      <c r="I319" s="25">
        <v>43334.758333333331</v>
      </c>
      <c r="J319" s="26">
        <v>43334.758333333331</v>
      </c>
      <c r="K319" s="7">
        <v>2.3084557800000001</v>
      </c>
      <c r="L319" s="7">
        <v>2.5625895787172519</v>
      </c>
      <c r="M319" s="7">
        <v>9.7408766183765969E-2</v>
      </c>
      <c r="N319" s="6">
        <v>1584.2565673204867</v>
      </c>
      <c r="O319" s="6">
        <v>107.34263574796285</v>
      </c>
      <c r="P319" s="67">
        <v>1.3624547000000102</v>
      </c>
      <c r="Q319" s="7">
        <v>0.28666215968628228</v>
      </c>
      <c r="R319" s="67">
        <v>2.1584778061516801</v>
      </c>
      <c r="S319" s="7">
        <v>0.4771141067621934</v>
      </c>
      <c r="T319" s="171">
        <f t="shared" si="8"/>
        <v>1.526170793056123</v>
      </c>
      <c r="U319" s="171">
        <f t="shared" si="9"/>
        <v>0.39107573787084876</v>
      </c>
    </row>
    <row r="320" spans="1:21" s="42" customFormat="1">
      <c r="A320" s="5">
        <v>515</v>
      </c>
      <c r="B320" s="28">
        <v>145.29300000000001</v>
      </c>
      <c r="C320" s="5" t="s">
        <v>146</v>
      </c>
      <c r="D320" s="5">
        <v>45</v>
      </c>
      <c r="E320" s="5">
        <v>2</v>
      </c>
      <c r="F320" s="24">
        <v>50.152999999999999</v>
      </c>
      <c r="G320" s="24">
        <v>-145.756</v>
      </c>
      <c r="H320" s="5">
        <v>4</v>
      </c>
      <c r="I320" s="25">
        <v>43334.758333333331</v>
      </c>
      <c r="J320" s="26">
        <v>43334.758333333331</v>
      </c>
      <c r="K320" s="7">
        <v>2.3212047</v>
      </c>
      <c r="L320" s="7">
        <v>2.2155731633223388</v>
      </c>
      <c r="M320" s="7">
        <v>8.5971753864965222E-2</v>
      </c>
      <c r="N320" s="6">
        <v>1691.8870392835152</v>
      </c>
      <c r="O320" s="6">
        <v>138.54950613508728</v>
      </c>
      <c r="P320" s="67">
        <v>1.1590407</v>
      </c>
      <c r="Q320" s="7">
        <v>0.28814542383661473</v>
      </c>
      <c r="R320" s="67">
        <v>1.960965938332093</v>
      </c>
      <c r="S320" s="7">
        <v>0.51327663824856828</v>
      </c>
      <c r="T320" s="171">
        <f t="shared" si="8"/>
        <v>1.386518282806021</v>
      </c>
      <c r="U320" s="171">
        <f t="shared" si="9"/>
        <v>0.40498221610789653</v>
      </c>
    </row>
    <row r="321" spans="1:21" s="42" customFormat="1">
      <c r="A321" s="5">
        <v>516</v>
      </c>
      <c r="B321" s="28">
        <v>196.01</v>
      </c>
      <c r="C321" s="5" t="s">
        <v>146</v>
      </c>
      <c r="D321" s="5">
        <v>45</v>
      </c>
      <c r="E321" s="5">
        <v>2</v>
      </c>
      <c r="F321" s="24">
        <v>50.152999999999999</v>
      </c>
      <c r="G321" s="24">
        <v>-145.756</v>
      </c>
      <c r="H321" s="5">
        <v>3</v>
      </c>
      <c r="I321" s="25">
        <v>43334.758333333331</v>
      </c>
      <c r="J321" s="26">
        <v>43334.758333333331</v>
      </c>
      <c r="K321" s="7">
        <v>2.3335527599999999</v>
      </c>
      <c r="L321" s="7">
        <v>2.2628089487592984</v>
      </c>
      <c r="M321" s="7">
        <v>8.6820397376889485E-2</v>
      </c>
      <c r="N321" s="6">
        <v>1881.0715428606131</v>
      </c>
      <c r="O321" s="6">
        <v>270.37389973750402</v>
      </c>
      <c r="P321" s="67">
        <v>1.0338820000000002</v>
      </c>
      <c r="Q321" s="7">
        <v>7.6929277954760081E-2</v>
      </c>
      <c r="R321" s="67">
        <v>1.9448060088758168</v>
      </c>
      <c r="S321" s="7">
        <v>0.31477052818509288</v>
      </c>
      <c r="T321" s="171">
        <f t="shared" si="8"/>
        <v>1.3750922619853636</v>
      </c>
      <c r="U321" s="171">
        <f t="shared" si="9"/>
        <v>0.28514090446178952</v>
      </c>
    </row>
    <row r="322" spans="1:21" s="42" customFormat="1">
      <c r="A322" s="5">
        <v>517</v>
      </c>
      <c r="B322" s="28">
        <v>331.260999999999</v>
      </c>
      <c r="C322" s="5" t="s">
        <v>146</v>
      </c>
      <c r="D322" s="5">
        <v>45</v>
      </c>
      <c r="E322" s="5">
        <v>2</v>
      </c>
      <c r="F322" s="24">
        <v>50.152999999999999</v>
      </c>
      <c r="G322" s="24">
        <v>-145.756</v>
      </c>
      <c r="H322" s="5">
        <v>2</v>
      </c>
      <c r="I322" s="25">
        <v>43334.758333333331</v>
      </c>
      <c r="J322" s="26">
        <v>43334.758333333331</v>
      </c>
      <c r="K322" s="7">
        <v>2.3504910600000004</v>
      </c>
      <c r="L322" s="7">
        <v>2.5389487342514983</v>
      </c>
      <c r="M322" s="7">
        <v>9.4733703764919047E-2</v>
      </c>
      <c r="N322" s="6">
        <v>1051.300944033067</v>
      </c>
      <c r="O322" s="6">
        <v>497.07273088711963</v>
      </c>
      <c r="P322" s="67">
        <v>0.92949560000000042</v>
      </c>
      <c r="Q322" s="7">
        <v>0.14896336388414355</v>
      </c>
      <c r="R322" s="67">
        <v>0.97717960175458241</v>
      </c>
      <c r="S322" s="7">
        <v>0.48784638891001775</v>
      </c>
      <c r="T322" s="171">
        <f t="shared" si="8"/>
        <v>0.69092346630468815</v>
      </c>
      <c r="U322" s="171">
        <f t="shared" si="9"/>
        <v>0.35637352553644741</v>
      </c>
    </row>
    <row r="323" spans="1:21" s="42" customFormat="1">
      <c r="A323" s="5">
        <v>518</v>
      </c>
      <c r="B323" s="28">
        <v>502.195999999999</v>
      </c>
      <c r="C323" s="5" t="s">
        <v>146</v>
      </c>
      <c r="D323" s="5">
        <v>45</v>
      </c>
      <c r="E323" s="5">
        <v>2</v>
      </c>
      <c r="F323" s="24">
        <v>50.152999999999999</v>
      </c>
      <c r="G323" s="24">
        <v>-145.756</v>
      </c>
      <c r="H323" s="5">
        <v>1</v>
      </c>
      <c r="I323" s="25">
        <v>43334.758333333331</v>
      </c>
      <c r="J323" s="26">
        <v>43334.758333333331</v>
      </c>
      <c r="K323" s="7">
        <v>2.3664547200000001</v>
      </c>
      <c r="L323" s="7">
        <v>2.1838150449230467</v>
      </c>
      <c r="M323" s="7">
        <v>9.1062298633162994E-2</v>
      </c>
      <c r="N323" s="6">
        <v>1500.2375389494998</v>
      </c>
      <c r="O323" s="6">
        <v>545.14541293604839</v>
      </c>
      <c r="P323" s="68">
        <v>0.87680272990205399</v>
      </c>
      <c r="Q323" s="7">
        <v>0.15828163628098546</v>
      </c>
      <c r="R323" s="67">
        <v>1.3154123696524604</v>
      </c>
      <c r="S323" s="7">
        <v>0.53371989246001739</v>
      </c>
      <c r="T323" s="171">
        <f t="shared" si="8"/>
        <v>0.93007393157660101</v>
      </c>
      <c r="U323" s="171">
        <f t="shared" si="9"/>
        <v>0.39616169116505273</v>
      </c>
    </row>
    <row r="324" spans="1:21" s="42" customFormat="1">
      <c r="A324" s="5">
        <v>520</v>
      </c>
      <c r="B324" s="28">
        <v>7.6229999999999896</v>
      </c>
      <c r="C324" s="5" t="s">
        <v>147</v>
      </c>
      <c r="D324" s="5">
        <v>47</v>
      </c>
      <c r="E324" s="5">
        <v>2</v>
      </c>
      <c r="F324" s="24">
        <v>50.100999999999999</v>
      </c>
      <c r="G324" s="24">
        <v>-145.53100000000001</v>
      </c>
      <c r="H324" s="5">
        <v>13</v>
      </c>
      <c r="I324" s="25">
        <v>43334.990277777775</v>
      </c>
      <c r="J324" s="26">
        <v>43334.990277777775</v>
      </c>
      <c r="K324" s="7">
        <v>2.2219722000000002</v>
      </c>
      <c r="L324" s="7">
        <v>1.2573252317507944</v>
      </c>
      <c r="M324" s="7">
        <v>6.4373871539688793E-2</v>
      </c>
      <c r="N324" s="6">
        <v>394.20379387849107</v>
      </c>
      <c r="O324" s="6">
        <v>26.306436678745921</v>
      </c>
      <c r="P324" s="7">
        <v>5.3045246601367619</v>
      </c>
      <c r="Q324" s="7">
        <v>1.8998610814664527</v>
      </c>
      <c r="R324" s="67">
        <v>2.0910637457479253</v>
      </c>
      <c r="S324" s="7">
        <v>0.761821565333894</v>
      </c>
      <c r="T324" s="171">
        <f t="shared" si="8"/>
        <v>1.4785050863547118</v>
      </c>
      <c r="U324" s="171">
        <f t="shared" si="9"/>
        <v>0.57173153542148414</v>
      </c>
    </row>
    <row r="325" spans="1:21" s="42" customFormat="1">
      <c r="A325" s="5">
        <v>521</v>
      </c>
      <c r="B325" s="28">
        <v>20.795000000000002</v>
      </c>
      <c r="C325" s="5" t="s">
        <v>147</v>
      </c>
      <c r="D325" s="5">
        <v>47</v>
      </c>
      <c r="E325" s="5">
        <v>2</v>
      </c>
      <c r="F325" s="24">
        <v>50.100999999999999</v>
      </c>
      <c r="G325" s="24">
        <v>-145.53100000000001</v>
      </c>
      <c r="H325" s="5">
        <v>12</v>
      </c>
      <c r="I325" s="25">
        <v>43334.990277777775</v>
      </c>
      <c r="J325" s="26">
        <v>43334.990277777775</v>
      </c>
      <c r="K325" s="7">
        <v>2.2219093200000004</v>
      </c>
      <c r="L325" s="7">
        <v>1.3375719849217931</v>
      </c>
      <c r="M325" s="7">
        <v>5.9247151311550214E-2</v>
      </c>
      <c r="N325" s="6">
        <v>763.95662393956536</v>
      </c>
      <c r="O325" s="6">
        <v>36.134200550224975</v>
      </c>
      <c r="P325" s="7">
        <v>5.3045246601367619</v>
      </c>
      <c r="Q325" s="7">
        <v>1.8998610814664527</v>
      </c>
      <c r="R325" s="67">
        <v>4.0524267509622511</v>
      </c>
      <c r="S325" s="7">
        <v>1.4640131257967062</v>
      </c>
      <c r="T325" s="171">
        <f t="shared" si="8"/>
        <v>2.8653041188060735</v>
      </c>
      <c r="U325" s="171">
        <f t="shared" si="9"/>
        <v>1.0997596347333518</v>
      </c>
    </row>
    <row r="326" spans="1:21" s="42" customFormat="1">
      <c r="A326" s="5">
        <v>522</v>
      </c>
      <c r="B326" s="28">
        <v>36.698999999999998</v>
      </c>
      <c r="C326" s="5" t="s">
        <v>147</v>
      </c>
      <c r="D326" s="5">
        <v>47</v>
      </c>
      <c r="E326" s="5">
        <v>2</v>
      </c>
      <c r="F326" s="24">
        <v>50.100999999999999</v>
      </c>
      <c r="G326" s="24">
        <v>-145.53100000000001</v>
      </c>
      <c r="H326" s="5">
        <v>11</v>
      </c>
      <c r="I326" s="25">
        <v>43334.990277777775</v>
      </c>
      <c r="J326" s="26">
        <v>43334.990277777775</v>
      </c>
      <c r="K326" s="7">
        <v>2.23904412</v>
      </c>
      <c r="L326" s="7">
        <v>1.4102036524720867</v>
      </c>
      <c r="M326" s="7">
        <v>6.4163744911930859E-2</v>
      </c>
      <c r="N326" s="6">
        <v>1120.7556031720319</v>
      </c>
      <c r="O326" s="6">
        <v>45.481979912681879</v>
      </c>
      <c r="P326" s="7">
        <v>5.3045246601367619</v>
      </c>
      <c r="Q326" s="7">
        <v>1.8998610814664527</v>
      </c>
      <c r="R326" s="67">
        <v>5.9450757350124936</v>
      </c>
      <c r="S326" s="7">
        <v>2.1429044868891465</v>
      </c>
      <c r="T326" s="171">
        <f t="shared" si="8"/>
        <v>4.2035182958212642</v>
      </c>
      <c r="U326" s="171">
        <f t="shared" si="9"/>
        <v>1.6101566136477634</v>
      </c>
    </row>
    <row r="327" spans="1:21" s="42" customFormat="1">
      <c r="A327" s="5">
        <v>523</v>
      </c>
      <c r="B327" s="28">
        <v>50.731000000000002</v>
      </c>
      <c r="C327" s="5" t="s">
        <v>147</v>
      </c>
      <c r="D327" s="5">
        <v>47</v>
      </c>
      <c r="E327" s="5">
        <v>2</v>
      </c>
      <c r="F327" s="24">
        <v>50.100999999999999</v>
      </c>
      <c r="G327" s="24">
        <v>-145.53100000000001</v>
      </c>
      <c r="H327" s="5">
        <v>10</v>
      </c>
      <c r="I327" s="25">
        <v>43334.990277777775</v>
      </c>
      <c r="J327" s="26">
        <v>43334.990277777775</v>
      </c>
      <c r="K327" s="7">
        <v>2.2430212800000002</v>
      </c>
      <c r="L327" s="7">
        <v>1.272163428931981</v>
      </c>
      <c r="M327" s="7">
        <v>6.4262057959935989E-2</v>
      </c>
      <c r="N327" s="6">
        <v>1541.552172084444</v>
      </c>
      <c r="O327" s="6">
        <v>53.332890639489705</v>
      </c>
      <c r="P327" s="67">
        <v>5.250025299999999</v>
      </c>
      <c r="Q327" s="7">
        <v>1.8653997246567813</v>
      </c>
      <c r="R327" s="67">
        <v>8.0931879047132842</v>
      </c>
      <c r="S327" s="7">
        <v>2.88921062959832</v>
      </c>
      <c r="T327" s="171">
        <f t="shared" ref="T327:T390" si="10">R327*U$1</f>
        <v>5.7223599740920976</v>
      </c>
      <c r="U327" s="171">
        <f t="shared" ref="U327:U390" si="11">((((S327/R327)^2+(V$1/U$1)^2))^0.5)*T327</f>
        <v>2.1733414814252976</v>
      </c>
    </row>
    <row r="328" spans="1:21" s="42" customFormat="1">
      <c r="A328" s="5">
        <v>524</v>
      </c>
      <c r="B328" s="28">
        <v>66.84</v>
      </c>
      <c r="C328" s="5" t="s">
        <v>147</v>
      </c>
      <c r="D328" s="5">
        <v>47</v>
      </c>
      <c r="E328" s="5">
        <v>2</v>
      </c>
      <c r="F328" s="24">
        <v>50.100999999999999</v>
      </c>
      <c r="G328" s="24">
        <v>-145.53100000000001</v>
      </c>
      <c r="H328" s="5">
        <v>9</v>
      </c>
      <c r="I328" s="25">
        <v>43334.990277777775</v>
      </c>
      <c r="J328" s="26">
        <v>43334.990277777775</v>
      </c>
      <c r="K328" s="7">
        <v>2.2464010800000001</v>
      </c>
      <c r="L328" s="7">
        <v>1.607515076534016</v>
      </c>
      <c r="M328" s="7">
        <v>6.7739591014730011E-2</v>
      </c>
      <c r="N328" s="6">
        <v>1816.6255503166087</v>
      </c>
      <c r="O328" s="6">
        <v>60.786652133929081</v>
      </c>
      <c r="P328" s="67">
        <v>4.0627919999999991</v>
      </c>
      <c r="Q328" s="7">
        <v>1.1877265264924797</v>
      </c>
      <c r="R328" s="67">
        <v>7.3805717528219139</v>
      </c>
      <c r="S328" s="7">
        <v>2.1717419959647737</v>
      </c>
      <c r="T328" s="171">
        <f t="shared" si="10"/>
        <v>5.2184984312135656</v>
      </c>
      <c r="U328" s="171">
        <f t="shared" si="11"/>
        <v>1.6779434825766757</v>
      </c>
    </row>
    <row r="329" spans="1:21" s="42" customFormat="1">
      <c r="A329" s="5">
        <v>525</v>
      </c>
      <c r="B329" s="28">
        <v>80.671999999999997</v>
      </c>
      <c r="C329" s="5" t="s">
        <v>147</v>
      </c>
      <c r="D329" s="5">
        <v>47</v>
      </c>
      <c r="E329" s="5">
        <v>2</v>
      </c>
      <c r="F329" s="24">
        <v>50.100999999999999</v>
      </c>
      <c r="G329" s="24">
        <v>-145.53100000000001</v>
      </c>
      <c r="H329" s="5">
        <v>8</v>
      </c>
      <c r="I329" s="25">
        <v>43334.990277777775</v>
      </c>
      <c r="J329" s="26">
        <v>43334.990277777775</v>
      </c>
      <c r="K329" s="7">
        <v>2.2477608600000001</v>
      </c>
      <c r="L329" s="7">
        <v>2.0763646469288588</v>
      </c>
      <c r="M329" s="7">
        <v>8.6262000217484022E-2</v>
      </c>
      <c r="N329" s="6">
        <v>1887.637839713271</v>
      </c>
      <c r="O329" s="6">
        <v>70.51488217531967</v>
      </c>
      <c r="P329" s="67">
        <v>3.0433735999999989</v>
      </c>
      <c r="Q329" s="7">
        <v>0.72515422038558697</v>
      </c>
      <c r="R329" s="67">
        <v>5.7447871677443985</v>
      </c>
      <c r="S329" s="7">
        <v>1.3855490219323114</v>
      </c>
      <c r="T329" s="171">
        <f t="shared" si="10"/>
        <v>4.0619024957067351</v>
      </c>
      <c r="U329" s="171">
        <f t="shared" si="11"/>
        <v>1.1121919763481558</v>
      </c>
    </row>
    <row r="330" spans="1:21" s="42" customFormat="1">
      <c r="A330" s="5">
        <v>526</v>
      </c>
      <c r="B330" s="28">
        <v>95.652000000000001</v>
      </c>
      <c r="C330" s="5" t="s">
        <v>147</v>
      </c>
      <c r="D330" s="5">
        <v>47</v>
      </c>
      <c r="E330" s="5">
        <v>2</v>
      </c>
      <c r="F330" s="24">
        <v>50.100999999999999</v>
      </c>
      <c r="G330" s="24">
        <v>-145.53100000000001</v>
      </c>
      <c r="H330" s="5">
        <v>7</v>
      </c>
      <c r="I330" s="25">
        <v>43334.990277777775</v>
      </c>
      <c r="J330" s="26">
        <v>43334.990277777775</v>
      </c>
      <c r="K330" s="7">
        <v>2.2630014000000003</v>
      </c>
      <c r="L330" s="7">
        <v>2.1716290050439531</v>
      </c>
      <c r="M330" s="7">
        <v>8.0758413319345246E-2</v>
      </c>
      <c r="N330" s="6">
        <v>1929.5168912262332</v>
      </c>
      <c r="O330" s="6">
        <v>79.639232971072488</v>
      </c>
      <c r="P330" s="67">
        <v>1.9393475999999987</v>
      </c>
      <c r="Q330" s="7">
        <v>0.34853243714500293</v>
      </c>
      <c r="R330" s="67">
        <v>3.7420039521590538</v>
      </c>
      <c r="S330" s="7">
        <v>0.6900068403917593</v>
      </c>
      <c r="T330" s="171">
        <f t="shared" si="10"/>
        <v>2.6458169377556304</v>
      </c>
      <c r="U330" s="171">
        <f t="shared" si="11"/>
        <v>0.59636143409183917</v>
      </c>
    </row>
    <row r="331" spans="1:21" s="42" customFormat="1">
      <c r="A331" s="5">
        <v>527</v>
      </c>
      <c r="B331" s="28">
        <v>112.545</v>
      </c>
      <c r="C331" s="5" t="s">
        <v>147</v>
      </c>
      <c r="D331" s="5">
        <v>47</v>
      </c>
      <c r="E331" s="5">
        <v>2</v>
      </c>
      <c r="F331" s="24">
        <v>50.100999999999999</v>
      </c>
      <c r="G331" s="24">
        <v>-145.53100000000001</v>
      </c>
      <c r="H331" s="5">
        <v>6</v>
      </c>
      <c r="I331" s="25">
        <v>43334.990277777775</v>
      </c>
      <c r="J331" s="26">
        <v>43334.990277777775</v>
      </c>
      <c r="K331" s="7">
        <v>2.2966500600000002</v>
      </c>
      <c r="L331" s="7">
        <v>2.2857399263345619</v>
      </c>
      <c r="M331" s="7">
        <v>8.7711472533063065E-2</v>
      </c>
      <c r="N331" s="6">
        <v>1934.5117256350172</v>
      </c>
      <c r="O331" s="6">
        <v>89.190186337568932</v>
      </c>
      <c r="P331" s="67">
        <v>1.4897955000000001</v>
      </c>
      <c r="Q331" s="7">
        <v>0.27782282289960752</v>
      </c>
      <c r="R331" s="67">
        <v>2.8820268635482833</v>
      </c>
      <c r="S331" s="7">
        <v>0.55363338628173264</v>
      </c>
      <c r="T331" s="171">
        <f t="shared" si="10"/>
        <v>2.0377625433140296</v>
      </c>
      <c r="U331" s="171">
        <f t="shared" si="11"/>
        <v>0.47223602765647155</v>
      </c>
    </row>
    <row r="332" spans="1:21" s="42" customFormat="1">
      <c r="A332" s="5">
        <v>528</v>
      </c>
      <c r="B332" s="28">
        <v>127.488999999999</v>
      </c>
      <c r="C332" s="5" t="s">
        <v>147</v>
      </c>
      <c r="D332" s="5">
        <v>47</v>
      </c>
      <c r="E332" s="5">
        <v>2</v>
      </c>
      <c r="F332" s="24">
        <v>50.100999999999999</v>
      </c>
      <c r="G332" s="24">
        <v>-145.53100000000001</v>
      </c>
      <c r="H332" s="5">
        <v>5</v>
      </c>
      <c r="I332" s="25">
        <v>43334.990277777775</v>
      </c>
      <c r="J332" s="26">
        <v>43334.990277777775</v>
      </c>
      <c r="K332" s="7">
        <v>2.3191846800000002</v>
      </c>
      <c r="L332" s="7">
        <v>2.419428526359197</v>
      </c>
      <c r="M332" s="7">
        <v>9.0023219752107447E-2</v>
      </c>
      <c r="N332" s="6">
        <v>1884.149812672604</v>
      </c>
      <c r="O332" s="6">
        <v>100.00191350798421</v>
      </c>
      <c r="P332" s="67">
        <v>1.3388611000000104</v>
      </c>
      <c r="Q332" s="7">
        <v>0.28763105533427602</v>
      </c>
      <c r="R332" s="67">
        <v>2.5226148907596562</v>
      </c>
      <c r="S332" s="7">
        <v>0.55823394649031666</v>
      </c>
      <c r="T332" s="171">
        <f t="shared" si="10"/>
        <v>1.783637134203319</v>
      </c>
      <c r="U332" s="171">
        <f t="shared" si="11"/>
        <v>0.45743502755132515</v>
      </c>
    </row>
    <row r="333" spans="1:21" s="42" customFormat="1">
      <c r="A333" s="5">
        <v>529</v>
      </c>
      <c r="B333" s="28">
        <v>147.482</v>
      </c>
      <c r="C333" s="5" t="s">
        <v>147</v>
      </c>
      <c r="D333" s="5">
        <v>47</v>
      </c>
      <c r="E333" s="5">
        <v>2</v>
      </c>
      <c r="F333" s="24">
        <v>50.100999999999999</v>
      </c>
      <c r="G333" s="24">
        <v>-145.53100000000001</v>
      </c>
      <c r="H333" s="5">
        <v>4</v>
      </c>
      <c r="I333" s="25">
        <v>43334.990277777775</v>
      </c>
      <c r="J333" s="26">
        <v>43334.990277777775</v>
      </c>
      <c r="K333" s="7">
        <v>2.3270839800000003</v>
      </c>
      <c r="L333" s="7">
        <v>2.3215335448420689</v>
      </c>
      <c r="M333" s="7">
        <v>8.8166767290096995E-2</v>
      </c>
      <c r="N333" s="6">
        <v>1889.726504719094</v>
      </c>
      <c r="O333" s="6">
        <v>133.59446473867877</v>
      </c>
      <c r="P333" s="67">
        <v>1.1369318000000002</v>
      </c>
      <c r="Q333" s="7">
        <v>0.28737014731005728</v>
      </c>
      <c r="R333" s="67">
        <v>2.1484901565179886</v>
      </c>
      <c r="S333" s="7">
        <v>0.56389207621136617</v>
      </c>
      <c r="T333" s="171">
        <f t="shared" si="10"/>
        <v>1.5191089371877071</v>
      </c>
      <c r="U333" s="171">
        <f t="shared" si="11"/>
        <v>0.44468074106354216</v>
      </c>
    </row>
    <row r="334" spans="1:21" s="42" customFormat="1">
      <c r="A334" s="5">
        <v>530</v>
      </c>
      <c r="B334" s="28">
        <v>197.35900000000001</v>
      </c>
      <c r="C334" s="5" t="s">
        <v>147</v>
      </c>
      <c r="D334" s="5">
        <v>47</v>
      </c>
      <c r="E334" s="5">
        <v>2</v>
      </c>
      <c r="F334" s="24">
        <v>50.100999999999999</v>
      </c>
      <c r="G334" s="24">
        <v>-145.53100000000001</v>
      </c>
      <c r="H334" s="5">
        <v>3</v>
      </c>
      <c r="I334" s="25">
        <v>43334.990277777775</v>
      </c>
      <c r="J334" s="26">
        <v>43334.990277777775</v>
      </c>
      <c r="K334" s="7">
        <v>2.3336156400000001</v>
      </c>
      <c r="L334" s="7">
        <v>2.5864320504261884</v>
      </c>
      <c r="M334" s="7">
        <v>9.467068729397983E-2</v>
      </c>
      <c r="N334" s="6">
        <v>1220.1183050475945</v>
      </c>
      <c r="O334" s="6">
        <v>284.11296049109518</v>
      </c>
      <c r="P334" s="67">
        <v>1.0314538</v>
      </c>
      <c r="Q334" s="7">
        <v>7.1207921068455568E-2</v>
      </c>
      <c r="R334" s="67">
        <v>1.2584956621909005</v>
      </c>
      <c r="S334" s="7">
        <v>0.30565739609310433</v>
      </c>
      <c r="T334" s="171">
        <f t="shared" si="10"/>
        <v>0.88983047096876555</v>
      </c>
      <c r="U334" s="171">
        <f t="shared" si="11"/>
        <v>0.24497185886229317</v>
      </c>
    </row>
    <row r="335" spans="1:21" s="42" customFormat="1">
      <c r="A335" s="5">
        <v>531</v>
      </c>
      <c r="B335" s="28">
        <v>331.66800000000001</v>
      </c>
      <c r="C335" s="5" t="s">
        <v>147</v>
      </c>
      <c r="D335" s="5">
        <v>47</v>
      </c>
      <c r="E335" s="5">
        <v>2</v>
      </c>
      <c r="F335" s="24">
        <v>50.100999999999999</v>
      </c>
      <c r="G335" s="24">
        <v>-145.53100000000001</v>
      </c>
      <c r="H335" s="5">
        <v>2</v>
      </c>
      <c r="I335" s="25">
        <v>43334.990277777775</v>
      </c>
      <c r="J335" s="26">
        <v>43334.990277777775</v>
      </c>
      <c r="K335" s="7">
        <v>2.3485653600000003</v>
      </c>
      <c r="L335" s="7">
        <v>2.2543390337665876</v>
      </c>
      <c r="M335" s="7">
        <v>8.58067038991083E-2</v>
      </c>
      <c r="N335" s="6">
        <v>1631.9086269920708</v>
      </c>
      <c r="O335" s="6">
        <v>470.46910391867772</v>
      </c>
      <c r="P335" s="67">
        <v>0.92933280000000007</v>
      </c>
      <c r="Q335" s="7">
        <v>0.14898303998835841</v>
      </c>
      <c r="R335" s="67">
        <v>1.516586213666697</v>
      </c>
      <c r="S335" s="7">
        <v>0.50027392175241103</v>
      </c>
      <c r="T335" s="171">
        <f t="shared" si="10"/>
        <v>1.0723156744318347</v>
      </c>
      <c r="U335" s="171">
        <f t="shared" si="11"/>
        <v>0.38005362860501263</v>
      </c>
    </row>
    <row r="336" spans="1:21" s="42" customFormat="1">
      <c r="A336" s="5">
        <v>532</v>
      </c>
      <c r="B336" s="28">
        <v>501.26900000000001</v>
      </c>
      <c r="C336" s="5" t="s">
        <v>147</v>
      </c>
      <c r="D336" s="5">
        <v>47</v>
      </c>
      <c r="E336" s="5">
        <v>2</v>
      </c>
      <c r="F336" s="24">
        <v>50.100999999999999</v>
      </c>
      <c r="G336" s="24">
        <v>-145.53100000000001</v>
      </c>
      <c r="H336" s="5">
        <v>1</v>
      </c>
      <c r="I336" s="25">
        <v>43334.990277777775</v>
      </c>
      <c r="J336" s="26">
        <v>43334.990277777775</v>
      </c>
      <c r="K336" s="7">
        <v>2.3656608600000002</v>
      </c>
      <c r="L336" s="7">
        <v>2.3323403082259739</v>
      </c>
      <c r="M336" s="7">
        <v>9.050752557314666E-2</v>
      </c>
      <c r="N336" s="6">
        <v>1713.1728671945866</v>
      </c>
      <c r="O336" s="6">
        <v>519.6780678593725</v>
      </c>
      <c r="P336" s="68">
        <v>0.87680272990205399</v>
      </c>
      <c r="Q336" s="7">
        <v>0.15828163628098546</v>
      </c>
      <c r="R336" s="67">
        <v>1.5021146467503423</v>
      </c>
      <c r="S336" s="7">
        <v>0.53023713880766787</v>
      </c>
      <c r="T336" s="171">
        <f t="shared" si="10"/>
        <v>1.0620834252539408</v>
      </c>
      <c r="U336" s="171">
        <f t="shared" si="11"/>
        <v>0.39938754959137041</v>
      </c>
    </row>
    <row r="337" spans="1:21" s="42" customFormat="1">
      <c r="A337" s="5">
        <v>533</v>
      </c>
      <c r="B337" s="28">
        <v>7.1890000000000001</v>
      </c>
      <c r="C337" s="5" t="s">
        <v>148</v>
      </c>
      <c r="D337" s="5">
        <v>48</v>
      </c>
      <c r="E337" s="5">
        <v>2</v>
      </c>
      <c r="F337" s="24">
        <v>50.045000000000002</v>
      </c>
      <c r="G337" s="24">
        <v>-145.291</v>
      </c>
      <c r="H337" s="5">
        <v>13</v>
      </c>
      <c r="I337" s="25">
        <v>43335.119444444441</v>
      </c>
      <c r="J337" s="26">
        <v>43335.119444444441</v>
      </c>
      <c r="K337" s="7">
        <v>2.2225459800000005</v>
      </c>
      <c r="L337" s="7">
        <v>1.2961099605205968</v>
      </c>
      <c r="M337" s="7">
        <v>6.271363765577867E-2</v>
      </c>
      <c r="N337" s="6">
        <v>390.89852412965979</v>
      </c>
      <c r="O337" s="6">
        <v>26.461264336658438</v>
      </c>
      <c r="P337" s="7">
        <v>5.3045246601367619</v>
      </c>
      <c r="Q337" s="7">
        <v>1.8998610814664527</v>
      </c>
      <c r="R337" s="67">
        <v>2.0735308608568452</v>
      </c>
      <c r="S337" s="7">
        <v>0.75580122530149996</v>
      </c>
      <c r="T337" s="171">
        <f t="shared" si="10"/>
        <v>1.4661083052701342</v>
      </c>
      <c r="U337" s="171">
        <f t="shared" si="11"/>
        <v>0.56718242695054244</v>
      </c>
    </row>
    <row r="338" spans="1:21" s="42" customFormat="1">
      <c r="A338" s="5">
        <v>534</v>
      </c>
      <c r="B338" s="28">
        <v>22.152999999999999</v>
      </c>
      <c r="C338" s="5" t="s">
        <v>148</v>
      </c>
      <c r="D338" s="5">
        <v>48</v>
      </c>
      <c r="E338" s="5">
        <v>2</v>
      </c>
      <c r="F338" s="24">
        <v>50.045000000000002</v>
      </c>
      <c r="G338" s="24">
        <v>-145.291</v>
      </c>
      <c r="H338" s="5">
        <v>12</v>
      </c>
      <c r="I338" s="25">
        <v>43335.119444444441</v>
      </c>
      <c r="J338" s="26">
        <v>43335.119444444441</v>
      </c>
      <c r="K338" s="7">
        <v>2.2224988200000002</v>
      </c>
      <c r="L338" s="7">
        <v>1.1783245678778709</v>
      </c>
      <c r="M338" s="7">
        <v>6.0540975168829128E-2</v>
      </c>
      <c r="N338" s="6">
        <v>842.03098165369465</v>
      </c>
      <c r="O338" s="6">
        <v>37.207039148632916</v>
      </c>
      <c r="P338" s="7">
        <v>5.3045246601367619</v>
      </c>
      <c r="Q338" s="7">
        <v>1.8998610814664527</v>
      </c>
      <c r="R338" s="67">
        <v>4.4665741067811888</v>
      </c>
      <c r="S338" s="7">
        <v>1.6118707521534203</v>
      </c>
      <c r="T338" s="171">
        <f t="shared" si="10"/>
        <v>3.1581306638235436</v>
      </c>
      <c r="U338" s="171">
        <f t="shared" si="11"/>
        <v>1.2109805000050204</v>
      </c>
    </row>
    <row r="339" spans="1:21" s="42" customFormat="1">
      <c r="A339" s="5">
        <v>535</v>
      </c>
      <c r="B339" s="28">
        <v>37.234000000000002</v>
      </c>
      <c r="C339" s="5" t="s">
        <v>148</v>
      </c>
      <c r="D339" s="5">
        <v>48</v>
      </c>
      <c r="E339" s="5">
        <v>2</v>
      </c>
      <c r="F339" s="24">
        <v>50.045000000000002</v>
      </c>
      <c r="G339" s="24">
        <v>-145.291</v>
      </c>
      <c r="H339" s="5">
        <v>11</v>
      </c>
      <c r="I339" s="25">
        <v>43335.119444444441</v>
      </c>
      <c r="J339" s="26">
        <v>43335.119444444441</v>
      </c>
      <c r="K339" s="7">
        <v>2.2385489400000003</v>
      </c>
      <c r="L339" s="7">
        <v>1.3412399181844441</v>
      </c>
      <c r="M339" s="7">
        <v>6.3878114456639698E-2</v>
      </c>
      <c r="N339" s="6">
        <v>1227.6204071280818</v>
      </c>
      <c r="O339" s="6">
        <v>46.23679648311969</v>
      </c>
      <c r="P339" s="7">
        <v>5.3045246601367619</v>
      </c>
      <c r="Q339" s="7">
        <v>1.8998610814664527</v>
      </c>
      <c r="R339" s="67">
        <v>6.5119427228980413</v>
      </c>
      <c r="S339" s="7">
        <v>2.3451687020299676</v>
      </c>
      <c r="T339" s="171">
        <f t="shared" si="10"/>
        <v>4.604326605266456</v>
      </c>
      <c r="U339" s="171">
        <f t="shared" si="11"/>
        <v>1.7623134837524221</v>
      </c>
    </row>
    <row r="340" spans="1:21" s="42" customFormat="1">
      <c r="A340" s="5">
        <v>536</v>
      </c>
      <c r="B340" s="28">
        <v>52.036000000000001</v>
      </c>
      <c r="C340" s="5" t="s">
        <v>148</v>
      </c>
      <c r="D340" s="5">
        <v>48</v>
      </c>
      <c r="E340" s="5">
        <v>2</v>
      </c>
      <c r="F340" s="24">
        <v>50.045000000000002</v>
      </c>
      <c r="G340" s="24">
        <v>-145.291</v>
      </c>
      <c r="H340" s="5">
        <v>10</v>
      </c>
      <c r="I340" s="25">
        <v>43335.119444444441</v>
      </c>
      <c r="J340" s="26">
        <v>43335.119444444441</v>
      </c>
      <c r="K340" s="7">
        <v>2.2421802600000005</v>
      </c>
      <c r="L340" s="7">
        <v>1.7259336766588218</v>
      </c>
      <c r="M340" s="7">
        <v>7.7197223655781577E-2</v>
      </c>
      <c r="N340" s="6">
        <v>1449.5942442204901</v>
      </c>
      <c r="O340" s="6">
        <v>56.917619894260341</v>
      </c>
      <c r="P340" s="67">
        <v>5.1538467999999984</v>
      </c>
      <c r="Q340" s="7">
        <v>1.8049352641365164</v>
      </c>
      <c r="R340" s="67">
        <v>7.4709866568741887</v>
      </c>
      <c r="S340" s="7">
        <v>2.6328168287325489</v>
      </c>
      <c r="T340" s="171">
        <f t="shared" si="10"/>
        <v>5.2824270875232502</v>
      </c>
      <c r="U340" s="171">
        <f t="shared" si="11"/>
        <v>1.9834955237633458</v>
      </c>
    </row>
    <row r="341" spans="1:21" s="42" customFormat="1">
      <c r="A341" s="5">
        <v>537</v>
      </c>
      <c r="B341" s="28">
        <v>67.135000000000005</v>
      </c>
      <c r="C341" s="5" t="s">
        <v>148</v>
      </c>
      <c r="D341" s="5">
        <v>48</v>
      </c>
      <c r="E341" s="5">
        <v>2</v>
      </c>
      <c r="F341" s="24">
        <v>50.045000000000002</v>
      </c>
      <c r="G341" s="24">
        <v>-145.291</v>
      </c>
      <c r="H341" s="5">
        <v>9</v>
      </c>
      <c r="I341" s="25">
        <v>43335.119444444441</v>
      </c>
      <c r="J341" s="26">
        <v>43335.119444444441</v>
      </c>
      <c r="K341" s="7">
        <v>2.2448998200000001</v>
      </c>
      <c r="L341" s="7">
        <v>1.8387140810514127</v>
      </c>
      <c r="M341" s="7">
        <v>7.538816416598286E-2</v>
      </c>
      <c r="N341" s="6">
        <v>1626.1720316668352</v>
      </c>
      <c r="O341" s="6">
        <v>65.678587955705638</v>
      </c>
      <c r="P341" s="67">
        <v>4.041050499999999</v>
      </c>
      <c r="Q341" s="7">
        <v>1.1767106057438921</v>
      </c>
      <c r="R341" s="67">
        <v>6.5714433016532787</v>
      </c>
      <c r="S341" s="7">
        <v>1.9318526405510481</v>
      </c>
      <c r="T341" s="171">
        <f t="shared" si="10"/>
        <v>4.6463970148890965</v>
      </c>
      <c r="U341" s="171">
        <f t="shared" si="11"/>
        <v>1.4928252314666017</v>
      </c>
    </row>
    <row r="342" spans="1:21" s="42" customFormat="1">
      <c r="A342" s="5">
        <v>538</v>
      </c>
      <c r="B342" s="28">
        <v>82.266999999999996</v>
      </c>
      <c r="C342" s="5" t="s">
        <v>148</v>
      </c>
      <c r="D342" s="5">
        <v>48</v>
      </c>
      <c r="E342" s="5">
        <v>2</v>
      </c>
      <c r="F342" s="24">
        <v>50.045000000000002</v>
      </c>
      <c r="G342" s="24">
        <v>-145.291</v>
      </c>
      <c r="H342" s="5">
        <v>8</v>
      </c>
      <c r="I342" s="25">
        <v>43335.119444444441</v>
      </c>
      <c r="J342" s="26">
        <v>43335.119444444441</v>
      </c>
      <c r="K342" s="7">
        <v>2.24683338</v>
      </c>
      <c r="L342" s="7">
        <v>1.9812383321417886</v>
      </c>
      <c r="M342" s="7">
        <v>8.1688999189425404E-2</v>
      </c>
      <c r="N342" s="6">
        <v>1740.3601711204708</v>
      </c>
      <c r="O342" s="6">
        <v>74.479182587851909</v>
      </c>
      <c r="P342" s="67">
        <v>2.9258220999999995</v>
      </c>
      <c r="Q342" s="7">
        <v>0.67890277740896365</v>
      </c>
      <c r="R342" s="67">
        <v>5.0919842506240549</v>
      </c>
      <c r="S342" s="7">
        <v>1.2014623579523005</v>
      </c>
      <c r="T342" s="171">
        <f t="shared" si="10"/>
        <v>3.6003324286476834</v>
      </c>
      <c r="U342" s="171">
        <f t="shared" si="11"/>
        <v>0.96925787915602124</v>
      </c>
    </row>
    <row r="343" spans="1:21" s="42" customFormat="1">
      <c r="A343" s="5">
        <v>539</v>
      </c>
      <c r="B343" s="28">
        <v>97.032999999999902</v>
      </c>
      <c r="C343" s="5" t="s">
        <v>148</v>
      </c>
      <c r="D343" s="5">
        <v>48</v>
      </c>
      <c r="E343" s="5">
        <v>2</v>
      </c>
      <c r="F343" s="24">
        <v>50.045000000000002</v>
      </c>
      <c r="G343" s="24">
        <v>-145.291</v>
      </c>
      <c r="H343" s="5">
        <v>7</v>
      </c>
      <c r="I343" s="25">
        <v>43335.119444444441</v>
      </c>
      <c r="J343" s="26">
        <v>43335.119444444441</v>
      </c>
      <c r="K343" s="7">
        <v>2.2573422000000001</v>
      </c>
      <c r="L343" s="7">
        <v>2.1523114769799894</v>
      </c>
      <c r="M343" s="7">
        <v>8.3281561487643471E-2</v>
      </c>
      <c r="N343" s="6">
        <v>1785.3698670136951</v>
      </c>
      <c r="O343" s="6">
        <v>82.588607066352736</v>
      </c>
      <c r="P343" s="67">
        <v>1.837567900000006</v>
      </c>
      <c r="Q343" s="7">
        <v>0.3203211667049054</v>
      </c>
      <c r="R343" s="67">
        <v>3.2807383572516455</v>
      </c>
      <c r="S343" s="7">
        <v>0.59168567754764556</v>
      </c>
      <c r="T343" s="171">
        <f t="shared" si="10"/>
        <v>2.3196750257178866</v>
      </c>
      <c r="U343" s="171">
        <f t="shared" si="11"/>
        <v>0.51520441306167664</v>
      </c>
    </row>
    <row r="344" spans="1:21" s="42" customFormat="1">
      <c r="A344" s="5">
        <v>540</v>
      </c>
      <c r="B344" s="28">
        <v>112.068</v>
      </c>
      <c r="C344" s="5" t="s">
        <v>148</v>
      </c>
      <c r="D344" s="5">
        <v>48</v>
      </c>
      <c r="E344" s="5">
        <v>2</v>
      </c>
      <c r="F344" s="24">
        <v>50.045000000000002</v>
      </c>
      <c r="G344" s="24">
        <v>-145.291</v>
      </c>
      <c r="H344" s="5">
        <v>6</v>
      </c>
      <c r="I344" s="25">
        <v>43335.119444444441</v>
      </c>
      <c r="J344" s="26">
        <v>43335.119444444441</v>
      </c>
      <c r="K344" s="7">
        <v>2.2845063600000004</v>
      </c>
      <c r="L344" s="7">
        <v>2.3670951674115939</v>
      </c>
      <c r="M344" s="7">
        <v>9.1040261853735482E-2</v>
      </c>
      <c r="N344" s="6">
        <v>1749.6246680453767</v>
      </c>
      <c r="O344" s="6">
        <v>91.506719262022628</v>
      </c>
      <c r="P344" s="67">
        <v>1.4946132000000001</v>
      </c>
      <c r="Q344" s="7">
        <v>0.27736881706434724</v>
      </c>
      <c r="R344" s="67">
        <v>2.6150121239062383</v>
      </c>
      <c r="S344" s="7">
        <v>0.50419532234352904</v>
      </c>
      <c r="T344" s="171">
        <f t="shared" si="10"/>
        <v>1.8489674138038874</v>
      </c>
      <c r="U344" s="171">
        <f t="shared" si="11"/>
        <v>0.42957209365213556</v>
      </c>
    </row>
    <row r="345" spans="1:21" s="42" customFormat="1">
      <c r="A345" s="5">
        <v>541</v>
      </c>
      <c r="B345" s="28">
        <v>127.131</v>
      </c>
      <c r="C345" s="5" t="s">
        <v>148</v>
      </c>
      <c r="D345" s="5">
        <v>48</v>
      </c>
      <c r="E345" s="5">
        <v>2</v>
      </c>
      <c r="F345" s="24">
        <v>50.045000000000002</v>
      </c>
      <c r="G345" s="24">
        <v>-145.291</v>
      </c>
      <c r="H345" s="5">
        <v>5</v>
      </c>
      <c r="I345" s="25">
        <v>43335.119444444441</v>
      </c>
      <c r="J345" s="26">
        <v>43335.119444444441</v>
      </c>
      <c r="K345" s="7">
        <v>2.3042821199999999</v>
      </c>
      <c r="L345" s="7">
        <v>2.2688454416587747</v>
      </c>
      <c r="M345" s="7">
        <v>9.0444775415250839E-2</v>
      </c>
      <c r="N345" s="6">
        <v>1767.4737068992479</v>
      </c>
      <c r="O345" s="6">
        <v>102.21950016713275</v>
      </c>
      <c r="P345" s="67">
        <v>1.3424769000000001</v>
      </c>
      <c r="Q345" s="7">
        <v>0.28749613620148834</v>
      </c>
      <c r="R345" s="67">
        <v>2.372792622869611</v>
      </c>
      <c r="S345" s="7">
        <v>0.52634540769851335</v>
      </c>
      <c r="T345" s="171">
        <f t="shared" si="10"/>
        <v>1.6777039767015136</v>
      </c>
      <c r="U345" s="171">
        <f t="shared" si="11"/>
        <v>0.4310397614392571</v>
      </c>
    </row>
    <row r="346" spans="1:21" s="42" customFormat="1">
      <c r="A346" s="5">
        <v>542</v>
      </c>
      <c r="B346" s="28">
        <v>147.095</v>
      </c>
      <c r="C346" s="5" t="s">
        <v>148</v>
      </c>
      <c r="D346" s="5">
        <v>48</v>
      </c>
      <c r="E346" s="5">
        <v>2</v>
      </c>
      <c r="F346" s="24">
        <v>50.045000000000002</v>
      </c>
      <c r="G346" s="24">
        <v>-145.291</v>
      </c>
      <c r="H346" s="5">
        <v>4</v>
      </c>
      <c r="I346" s="25">
        <v>43335.119444444441</v>
      </c>
      <c r="J346" s="26">
        <v>43335.119444444441</v>
      </c>
      <c r="K346" s="7">
        <v>2.3186502</v>
      </c>
      <c r="L346" s="7">
        <v>2.2626343410413368</v>
      </c>
      <c r="M346" s="7">
        <v>8.5208254154417989E-2</v>
      </c>
      <c r="N346" s="6">
        <v>1823.5153185889087</v>
      </c>
      <c r="O346" s="6">
        <v>133.10127783178635</v>
      </c>
      <c r="P346" s="67">
        <v>1.1408405000000001</v>
      </c>
      <c r="Q346" s="7">
        <v>0.28752057229320749</v>
      </c>
      <c r="R346" s="67">
        <v>2.0803401278166302</v>
      </c>
      <c r="S346" s="7">
        <v>0.54584446510092255</v>
      </c>
      <c r="T346" s="171">
        <f t="shared" si="10"/>
        <v>1.4709228576025828</v>
      </c>
      <c r="U346" s="171">
        <f t="shared" si="11"/>
        <v>0.43047343615615141</v>
      </c>
    </row>
    <row r="347" spans="1:21" s="42" customFormat="1">
      <c r="A347" s="5">
        <v>543</v>
      </c>
      <c r="B347" s="28">
        <v>196.70400000000001</v>
      </c>
      <c r="C347" s="5" t="s">
        <v>148</v>
      </c>
      <c r="D347" s="5">
        <v>48</v>
      </c>
      <c r="E347" s="5">
        <v>2</v>
      </c>
      <c r="F347" s="24">
        <v>50.045000000000002</v>
      </c>
      <c r="G347" s="24">
        <v>-145.291</v>
      </c>
      <c r="H347" s="5">
        <v>3</v>
      </c>
      <c r="I347" s="25">
        <v>43335.119444444441</v>
      </c>
      <c r="J347" s="26">
        <v>43335.119444444441</v>
      </c>
      <c r="K347" s="7">
        <v>2.3376478199999999</v>
      </c>
      <c r="L347" s="7">
        <v>2.437008966180946</v>
      </c>
      <c r="M347" s="7">
        <v>9.3425874831624331E-2</v>
      </c>
      <c r="N347" s="6">
        <v>1560.276474751251</v>
      </c>
      <c r="O347" s="6">
        <v>281.03265336365075</v>
      </c>
      <c r="P347" s="67">
        <v>1.0326328</v>
      </c>
      <c r="Q347" s="7">
        <v>7.398263825244164E-2</v>
      </c>
      <c r="R347" s="67">
        <v>1.6111926648965136</v>
      </c>
      <c r="S347" s="7">
        <v>0.31231867549586978</v>
      </c>
      <c r="T347" s="171">
        <f t="shared" si="10"/>
        <v>1.1392080011864274</v>
      </c>
      <c r="U347" s="171">
        <f t="shared" si="11"/>
        <v>0.2656525589790581</v>
      </c>
    </row>
    <row r="348" spans="1:21" s="42" customFormat="1">
      <c r="A348" s="5">
        <v>544</v>
      </c>
      <c r="B348" s="28">
        <v>331.33099999999899</v>
      </c>
      <c r="C348" s="5" t="s">
        <v>148</v>
      </c>
      <c r="D348" s="5">
        <v>48</v>
      </c>
      <c r="E348" s="5">
        <v>2</v>
      </c>
      <c r="F348" s="24">
        <v>50.045000000000002</v>
      </c>
      <c r="G348" s="24">
        <v>-145.291</v>
      </c>
      <c r="H348" s="5">
        <v>2</v>
      </c>
      <c r="I348" s="25">
        <v>43335.119444444441</v>
      </c>
      <c r="J348" s="26">
        <v>43335.119444444441</v>
      </c>
      <c r="K348" s="7">
        <v>2.3504124599999998</v>
      </c>
      <c r="L348" s="7">
        <v>2.1724881891415651</v>
      </c>
      <c r="M348" s="7">
        <v>8.8065342182082701E-2</v>
      </c>
      <c r="N348" s="6">
        <v>2338.7335309051568</v>
      </c>
      <c r="O348" s="6">
        <v>476.90585092542295</v>
      </c>
      <c r="P348" s="67">
        <v>0.92946760000000039</v>
      </c>
      <c r="Q348" s="7">
        <v>0.14896674912244756</v>
      </c>
      <c r="R348" s="67">
        <v>2.1737770420099429</v>
      </c>
      <c r="S348" s="7">
        <v>0.56379521829415269</v>
      </c>
      <c r="T348" s="171">
        <f t="shared" si="10"/>
        <v>1.5369882528680388</v>
      </c>
      <c r="U348" s="171">
        <f t="shared" si="11"/>
        <v>0.4456506138393968</v>
      </c>
    </row>
    <row r="349" spans="1:21" s="42" customFormat="1">
      <c r="A349" s="5">
        <v>545</v>
      </c>
      <c r="B349" s="28">
        <v>500.96100000000001</v>
      </c>
      <c r="C349" s="5" t="s">
        <v>148</v>
      </c>
      <c r="D349" s="5">
        <v>48</v>
      </c>
      <c r="E349" s="5">
        <v>2</v>
      </c>
      <c r="F349" s="24">
        <v>50.045000000000002</v>
      </c>
      <c r="G349" s="24">
        <v>-145.291</v>
      </c>
      <c r="H349" s="5">
        <v>1</v>
      </c>
      <c r="I349" s="25">
        <v>43335.119444444441</v>
      </c>
      <c r="J349" s="26">
        <v>43335.119444444441</v>
      </c>
      <c r="K349" s="7">
        <v>2.36492988</v>
      </c>
      <c r="L349" s="7">
        <v>2.653160061873475</v>
      </c>
      <c r="M349" s="7">
        <v>9.6681812471586595E-2</v>
      </c>
      <c r="N349" s="6">
        <v>1635.6595858029318</v>
      </c>
      <c r="O349" s="6">
        <v>532.03086778698685</v>
      </c>
      <c r="P349" s="68">
        <v>0.87680272990205399</v>
      </c>
      <c r="Q349" s="7">
        <v>0.15828163628098546</v>
      </c>
      <c r="R349" s="67">
        <v>1.4341507900224735</v>
      </c>
      <c r="S349" s="7">
        <v>0.53351274983453212</v>
      </c>
      <c r="T349" s="171">
        <f t="shared" si="10"/>
        <v>1.0140289802066447</v>
      </c>
      <c r="U349" s="171">
        <f t="shared" si="11"/>
        <v>0.39946971290000333</v>
      </c>
    </row>
    <row r="350" spans="1:21" s="42" customFormat="1">
      <c r="A350" s="5">
        <v>588</v>
      </c>
      <c r="B350" s="28">
        <v>5.2690000000000001</v>
      </c>
      <c r="C350" s="5" t="s">
        <v>149</v>
      </c>
      <c r="D350" s="5">
        <v>49</v>
      </c>
      <c r="E350" s="5">
        <v>2</v>
      </c>
      <c r="F350" s="24">
        <v>50.424999999999997</v>
      </c>
      <c r="G350" s="24">
        <v>-145.18</v>
      </c>
      <c r="H350" s="5">
        <v>23</v>
      </c>
      <c r="I350" s="25">
        <v>43335.645138888889</v>
      </c>
      <c r="J350" s="26">
        <v>43335.645138888889</v>
      </c>
      <c r="K350" s="7">
        <v>2.2227660600000005</v>
      </c>
      <c r="L350" s="7">
        <v>1.1475387474208187</v>
      </c>
      <c r="M350" s="7">
        <v>5.7656988724038315E-2</v>
      </c>
      <c r="N350" s="6">
        <v>312.25042000497444</v>
      </c>
      <c r="O350" s="6">
        <v>16.743825919114414</v>
      </c>
      <c r="P350" s="7">
        <v>5.3045246601367619</v>
      </c>
      <c r="Q350" s="7">
        <v>1.8998610814664527</v>
      </c>
      <c r="R350" s="67">
        <v>1.6563400530544481</v>
      </c>
      <c r="S350" s="7">
        <v>0.59984443706790957</v>
      </c>
      <c r="T350" s="171">
        <f t="shared" si="10"/>
        <v>1.1711298606528693</v>
      </c>
      <c r="U350" s="171">
        <f t="shared" si="11"/>
        <v>0.45047518897438921</v>
      </c>
    </row>
    <row r="351" spans="1:21" s="42" customFormat="1">
      <c r="A351" s="5">
        <v>587</v>
      </c>
      <c r="B351" s="28">
        <v>14.925999999999901</v>
      </c>
      <c r="C351" s="5" t="s">
        <v>149</v>
      </c>
      <c r="D351" s="5">
        <v>49</v>
      </c>
      <c r="E351" s="5">
        <v>2</v>
      </c>
      <c r="F351" s="24">
        <v>50.424999999999997</v>
      </c>
      <c r="G351" s="24">
        <v>-145.18</v>
      </c>
      <c r="H351" s="5">
        <v>19</v>
      </c>
      <c r="I351" s="25">
        <v>43335.645138888889</v>
      </c>
      <c r="J351" s="26">
        <v>43335.645138888889</v>
      </c>
      <c r="K351" s="7">
        <v>2.2227188999999998</v>
      </c>
      <c r="L351" s="7">
        <v>1.1140724724300071</v>
      </c>
      <c r="M351" s="7">
        <v>6.030560321227698E-2</v>
      </c>
      <c r="N351" s="6">
        <v>724.39168067183186</v>
      </c>
      <c r="O351" s="6">
        <v>27.981323230738983</v>
      </c>
      <c r="P351" s="7">
        <v>5.3045246601367619</v>
      </c>
      <c r="Q351" s="7">
        <v>1.8998610814664527</v>
      </c>
      <c r="R351" s="67">
        <v>3.8425535337216465</v>
      </c>
      <c r="S351" s="7">
        <v>1.3842243675198804</v>
      </c>
      <c r="T351" s="171">
        <f t="shared" si="10"/>
        <v>2.7169114072922147</v>
      </c>
      <c r="U351" s="171">
        <f t="shared" si="11"/>
        <v>1.0401631298739238</v>
      </c>
    </row>
    <row r="352" spans="1:21" s="42" customFormat="1">
      <c r="A352" s="5">
        <v>586</v>
      </c>
      <c r="B352" s="28">
        <v>31.120999999999999</v>
      </c>
      <c r="C352" s="5" t="s">
        <v>149</v>
      </c>
      <c r="D352" s="5">
        <v>49</v>
      </c>
      <c r="E352" s="5">
        <v>2</v>
      </c>
      <c r="F352" s="24">
        <v>50.424999999999997</v>
      </c>
      <c r="G352" s="24">
        <v>-145.18</v>
      </c>
      <c r="H352" s="5">
        <v>16</v>
      </c>
      <c r="I352" s="25">
        <v>43335.645138888889</v>
      </c>
      <c r="J352" s="26">
        <v>43335.645138888889</v>
      </c>
      <c r="K352" s="7">
        <v>2.2277335799999998</v>
      </c>
      <c r="L352" s="7">
        <v>1.3042351926034499</v>
      </c>
      <c r="M352" s="7">
        <v>6.3095529945065995E-2</v>
      </c>
      <c r="N352" s="6">
        <v>1401.8661266228762</v>
      </c>
      <c r="O352" s="6">
        <v>54.08701012961145</v>
      </c>
      <c r="P352" s="7">
        <v>5.3045246601367619</v>
      </c>
      <c r="Q352" s="7">
        <v>1.8998610814664527</v>
      </c>
      <c r="R352" s="67">
        <v>7.4362334388814517</v>
      </c>
      <c r="S352" s="7">
        <v>2.6787595964235105</v>
      </c>
      <c r="T352" s="171">
        <f t="shared" si="10"/>
        <v>5.2578545178567637</v>
      </c>
      <c r="U352" s="171">
        <f t="shared" si="11"/>
        <v>2.0129332537769202</v>
      </c>
    </row>
    <row r="353" spans="1:21" s="42" customFormat="1">
      <c r="A353" s="5">
        <v>585</v>
      </c>
      <c r="B353" s="28">
        <v>65.941000000000003</v>
      </c>
      <c r="C353" s="5" t="s">
        <v>149</v>
      </c>
      <c r="D353" s="5">
        <v>49</v>
      </c>
      <c r="E353" s="5">
        <v>2</v>
      </c>
      <c r="F353" s="24">
        <v>50.424999999999997</v>
      </c>
      <c r="G353" s="24">
        <v>-145.18</v>
      </c>
      <c r="H353" s="5">
        <v>13</v>
      </c>
      <c r="I353" s="25">
        <v>43335.645138888889</v>
      </c>
      <c r="J353" s="26">
        <v>43335.645138888889</v>
      </c>
      <c r="K353" s="7">
        <v>2.23998732</v>
      </c>
      <c r="L353" s="7">
        <v>1.8876950181802536</v>
      </c>
      <c r="M353" s="7">
        <v>8.2464904462780431E-2</v>
      </c>
      <c r="N353" s="6">
        <v>1628.2690924706824</v>
      </c>
      <c r="O353" s="6">
        <v>75.723481855164636</v>
      </c>
      <c r="P353" s="67">
        <v>4.1290482999999991</v>
      </c>
      <c r="Q353" s="7">
        <v>1.221606319274277</v>
      </c>
      <c r="R353" s="67">
        <v>6.7232017282086129</v>
      </c>
      <c r="S353" s="7">
        <v>2.013527738088519</v>
      </c>
      <c r="T353" s="171">
        <f t="shared" si="10"/>
        <v>4.7536991504722446</v>
      </c>
      <c r="U353" s="171">
        <f t="shared" si="11"/>
        <v>1.5513133158421248</v>
      </c>
    </row>
    <row r="354" spans="1:21" s="42" customFormat="1">
      <c r="A354" s="5">
        <v>584</v>
      </c>
      <c r="B354" s="28">
        <v>75.811999999999998</v>
      </c>
      <c r="C354" s="5" t="s">
        <v>149</v>
      </c>
      <c r="D354" s="5">
        <v>49</v>
      </c>
      <c r="E354" s="5">
        <v>2</v>
      </c>
      <c r="F354" s="24">
        <v>50.424999999999997</v>
      </c>
      <c r="G354" s="24">
        <v>-145.18</v>
      </c>
      <c r="H354" s="5">
        <v>11</v>
      </c>
      <c r="I354" s="25">
        <v>43335.645138888889</v>
      </c>
      <c r="J354" s="26">
        <v>43335.645138888889</v>
      </c>
      <c r="K354" s="7">
        <v>2.2422588600000002</v>
      </c>
      <c r="L354" s="7">
        <v>2.1406415633376392</v>
      </c>
      <c r="M354" s="7">
        <v>8.7964510402927826E-2</v>
      </c>
      <c r="N354" s="6">
        <v>1671.8978345390062</v>
      </c>
      <c r="O354" s="6">
        <v>84.619101622181475</v>
      </c>
      <c r="P354" s="67">
        <v>3.4015555999999991</v>
      </c>
      <c r="Q354" s="7">
        <v>0.87512124339959496</v>
      </c>
      <c r="R354" s="67">
        <v>5.6870534417040286</v>
      </c>
      <c r="S354" s="7">
        <v>1.4911574227316353</v>
      </c>
      <c r="T354" s="171">
        <f t="shared" si="10"/>
        <v>4.0210813548981532</v>
      </c>
      <c r="U354" s="171">
        <f t="shared" si="11"/>
        <v>1.1761413276129369</v>
      </c>
    </row>
    <row r="355" spans="1:21" s="42" customFormat="1">
      <c r="A355" s="5">
        <v>583</v>
      </c>
      <c r="B355" s="28">
        <v>95.797999999999902</v>
      </c>
      <c r="C355" s="5" t="s">
        <v>149</v>
      </c>
      <c r="D355" s="5">
        <v>49</v>
      </c>
      <c r="E355" s="5">
        <v>2</v>
      </c>
      <c r="F355" s="24">
        <v>50.424999999999997</v>
      </c>
      <c r="G355" s="24">
        <v>-145.18</v>
      </c>
      <c r="H355" s="5">
        <v>9</v>
      </c>
      <c r="I355" s="25">
        <v>43335.645138888889</v>
      </c>
      <c r="J355" s="26">
        <v>43335.645138888889</v>
      </c>
      <c r="K355" s="7">
        <v>2.2530034799999998</v>
      </c>
      <c r="L355" s="7">
        <v>1.9981174594960898</v>
      </c>
      <c r="M355" s="7">
        <v>8.7005726885072465E-2</v>
      </c>
      <c r="N355" s="6">
        <v>1800.1123287000983</v>
      </c>
      <c r="O355" s="6">
        <v>95.267379269236102</v>
      </c>
      <c r="P355" s="67">
        <v>1.9285874000000058</v>
      </c>
      <c r="Q355" s="7">
        <v>0.34549798164001494</v>
      </c>
      <c r="R355" s="67">
        <v>3.4716739557156786</v>
      </c>
      <c r="S355" s="7">
        <v>0.64850644991454809</v>
      </c>
      <c r="T355" s="171">
        <f t="shared" si="10"/>
        <v>2.4546777266490731</v>
      </c>
      <c r="U355" s="171">
        <f t="shared" si="11"/>
        <v>0.55811765397103097</v>
      </c>
    </row>
    <row r="356" spans="1:21" s="42" customFormat="1">
      <c r="A356" s="5">
        <v>582</v>
      </c>
      <c r="B356" s="28">
        <v>110.792999999999</v>
      </c>
      <c r="C356" s="5" t="s">
        <v>149</v>
      </c>
      <c r="D356" s="5">
        <v>49</v>
      </c>
      <c r="E356" s="5">
        <v>2</v>
      </c>
      <c r="F356" s="24">
        <v>50.424999999999997</v>
      </c>
      <c r="G356" s="24">
        <v>-145.18</v>
      </c>
      <c r="H356" s="5">
        <v>7</v>
      </c>
      <c r="I356" s="25">
        <v>43335.645138888889</v>
      </c>
      <c r="J356" s="26">
        <v>43335.645138888889</v>
      </c>
      <c r="K356" s="7">
        <v>2.2651943400000003</v>
      </c>
      <c r="L356" s="7">
        <v>2.1813173349633366</v>
      </c>
      <c r="M356" s="7">
        <v>8.5527975101311007E-2</v>
      </c>
      <c r="N356" s="6">
        <v>1835.7384206060015</v>
      </c>
      <c r="O356" s="6">
        <v>101.95856186010572</v>
      </c>
      <c r="P356" s="67">
        <v>1.5074907000000102</v>
      </c>
      <c r="Q356" s="7">
        <v>0.27611248051651371</v>
      </c>
      <c r="R356" s="67">
        <v>2.7673585966962539</v>
      </c>
      <c r="S356" s="7">
        <v>0.52966184176496933</v>
      </c>
      <c r="T356" s="171">
        <f t="shared" si="10"/>
        <v>1.9566853326699489</v>
      </c>
      <c r="U356" s="171">
        <f t="shared" si="11"/>
        <v>0.45230830868140848</v>
      </c>
    </row>
    <row r="357" spans="1:21" s="42" customFormat="1">
      <c r="A357" s="5">
        <v>581</v>
      </c>
      <c r="B357" s="28">
        <v>125.33499999999999</v>
      </c>
      <c r="C357" s="5" t="s">
        <v>149</v>
      </c>
      <c r="D357" s="5">
        <v>49</v>
      </c>
      <c r="E357" s="5">
        <v>2</v>
      </c>
      <c r="F357" s="24">
        <v>50.424999999999997</v>
      </c>
      <c r="G357" s="24">
        <v>-145.18</v>
      </c>
      <c r="H357" s="5">
        <v>6</v>
      </c>
      <c r="I357" s="25">
        <v>43335.645138888889</v>
      </c>
      <c r="J357" s="26">
        <v>43335.645138888889</v>
      </c>
      <c r="K357" s="7">
        <v>2.2843334400000002</v>
      </c>
      <c r="L357" s="7">
        <v>2.6705847700023755</v>
      </c>
      <c r="M357" s="7">
        <v>9.8716103830322005E-2</v>
      </c>
      <c r="N357" s="6">
        <v>1613.3555924118634</v>
      </c>
      <c r="O357" s="6">
        <v>116.72967139860027</v>
      </c>
      <c r="P357" s="67">
        <v>1.3606165000000001</v>
      </c>
      <c r="Q357" s="7">
        <v>0.28674515841416753</v>
      </c>
      <c r="R357" s="67">
        <v>2.1951582394028564</v>
      </c>
      <c r="S357" s="7">
        <v>0.48912594550778593</v>
      </c>
      <c r="T357" s="171">
        <f t="shared" si="10"/>
        <v>1.5521060172891659</v>
      </c>
      <c r="U357" s="171">
        <f t="shared" si="11"/>
        <v>0.40010506140879071</v>
      </c>
    </row>
    <row r="358" spans="1:21" s="42" customFormat="1">
      <c r="A358" s="5">
        <v>580</v>
      </c>
      <c r="B358" s="28">
        <v>150.83099999999999</v>
      </c>
      <c r="C358" s="5" t="s">
        <v>149</v>
      </c>
      <c r="D358" s="5">
        <v>49</v>
      </c>
      <c r="E358" s="5">
        <v>2</v>
      </c>
      <c r="F358" s="24">
        <v>50.424999999999997</v>
      </c>
      <c r="G358" s="24">
        <v>-145.18</v>
      </c>
      <c r="H358" s="5">
        <v>5</v>
      </c>
      <c r="I358" s="25">
        <v>43335.645138888889</v>
      </c>
      <c r="J358" s="26">
        <v>43335.645138888889</v>
      </c>
      <c r="K358" s="7">
        <v>2.3152389600000003</v>
      </c>
      <c r="L358" s="7">
        <v>2.4311881881050015</v>
      </c>
      <c r="M358" s="7">
        <v>9.1997958891879228E-2</v>
      </c>
      <c r="N358" s="6">
        <v>1496.1108821331213</v>
      </c>
      <c r="O358" s="6">
        <v>149.26360106415433</v>
      </c>
      <c r="P358" s="67">
        <v>1.1152042</v>
      </c>
      <c r="Q358" s="7">
        <v>0.28360864846762368</v>
      </c>
      <c r="R358" s="67">
        <v>1.6684691394205617</v>
      </c>
      <c r="S358" s="7">
        <v>0.45579347702191425</v>
      </c>
      <c r="T358" s="171">
        <f t="shared" si="10"/>
        <v>1.1797058382726813</v>
      </c>
      <c r="U358" s="171">
        <f t="shared" si="11"/>
        <v>0.35671295721631524</v>
      </c>
    </row>
    <row r="359" spans="1:21" s="42" customFormat="1">
      <c r="A359" s="5">
        <v>579</v>
      </c>
      <c r="B359" s="28">
        <v>195.65299999999999</v>
      </c>
      <c r="C359" s="5" t="s">
        <v>149</v>
      </c>
      <c r="D359" s="5">
        <v>49</v>
      </c>
      <c r="E359" s="5">
        <v>2</v>
      </c>
      <c r="F359" s="24">
        <v>50.424999999999997</v>
      </c>
      <c r="G359" s="24">
        <v>-145.18</v>
      </c>
      <c r="H359" s="5">
        <v>3</v>
      </c>
      <c r="I359" s="25">
        <v>43335.645138888889</v>
      </c>
      <c r="J359" s="26">
        <v>43335.645138888889</v>
      </c>
      <c r="K359" s="7">
        <v>2.3354705999999998</v>
      </c>
      <c r="L359" s="7">
        <v>2.4244909886622681</v>
      </c>
      <c r="M359" s="7">
        <v>9.1382689705762951E-2</v>
      </c>
      <c r="N359" s="6">
        <v>1265.2591099750248</v>
      </c>
      <c r="O359" s="6">
        <v>280.06802800478727</v>
      </c>
      <c r="P359" s="67">
        <v>1.0345246000000001</v>
      </c>
      <c r="Q359" s="7">
        <v>7.8447745924948506E-2</v>
      </c>
      <c r="R359" s="67">
        <v>1.3089416746432687</v>
      </c>
      <c r="S359" s="7">
        <v>0.30626717097788636</v>
      </c>
      <c r="T359" s="171">
        <f t="shared" si="10"/>
        <v>0.92549876953154431</v>
      </c>
      <c r="U359" s="171">
        <f t="shared" si="11"/>
        <v>0.24755953300633932</v>
      </c>
    </row>
    <row r="360" spans="1:21" s="42" customFormat="1">
      <c r="A360" s="5">
        <v>578</v>
      </c>
      <c r="B360" s="28">
        <v>331.16800000000001</v>
      </c>
      <c r="C360" s="5" t="s">
        <v>149</v>
      </c>
      <c r="D360" s="5">
        <v>49</v>
      </c>
      <c r="E360" s="5">
        <v>2</v>
      </c>
      <c r="F360" s="24">
        <v>50.424999999999997</v>
      </c>
      <c r="G360" s="24">
        <v>-145.18</v>
      </c>
      <c r="H360" s="5">
        <v>2</v>
      </c>
      <c r="I360" s="25">
        <v>43335.645138888889</v>
      </c>
      <c r="J360" s="26">
        <v>43335.645138888889</v>
      </c>
      <c r="K360" s="7">
        <v>2.3491941600000001</v>
      </c>
      <c r="L360" s="7">
        <v>2.1339821283512528</v>
      </c>
      <c r="M360" s="7">
        <v>8.6536508879612353E-2</v>
      </c>
      <c r="N360" s="6">
        <v>1684.6440227575197</v>
      </c>
      <c r="O360" s="6">
        <v>326.91832269026565</v>
      </c>
      <c r="P360" s="67">
        <v>0.92953280000000005</v>
      </c>
      <c r="Q360" s="7">
        <v>0.14895886561955843</v>
      </c>
      <c r="R360" s="67">
        <v>1.565931875477061</v>
      </c>
      <c r="S360" s="7">
        <v>0.39410159445346721</v>
      </c>
      <c r="T360" s="171">
        <f t="shared" si="10"/>
        <v>1.1072059603566511</v>
      </c>
      <c r="U360" s="171">
        <f t="shared" si="11"/>
        <v>0.31344214650452806</v>
      </c>
    </row>
    <row r="361" spans="1:21" s="42" customFormat="1">
      <c r="A361" s="5">
        <v>600</v>
      </c>
      <c r="B361" s="28">
        <v>5.5010000000000003</v>
      </c>
      <c r="C361" s="5" t="s">
        <v>150</v>
      </c>
      <c r="D361" s="5">
        <v>50</v>
      </c>
      <c r="E361" s="5">
        <v>2</v>
      </c>
      <c r="F361" s="24">
        <v>50.588000000000001</v>
      </c>
      <c r="G361" s="24">
        <v>-145.298</v>
      </c>
      <c r="H361" s="5">
        <v>23</v>
      </c>
      <c r="I361" s="25">
        <v>43335.818055555559</v>
      </c>
      <c r="J361" s="26">
        <v>43335.818055555559</v>
      </c>
      <c r="K361" s="7">
        <v>2.2232219400000002</v>
      </c>
      <c r="L361" s="7">
        <v>1.5172772194285475</v>
      </c>
      <c r="M361" s="7">
        <v>6.944029856409778E-2</v>
      </c>
      <c r="N361" s="6">
        <v>209.72968179034942</v>
      </c>
      <c r="O361" s="6">
        <v>20.63007385264666</v>
      </c>
      <c r="P361" s="7">
        <v>5.3045246601367619</v>
      </c>
      <c r="Q361" s="7">
        <v>1.8998610814664527</v>
      </c>
      <c r="R361" s="67">
        <v>1.1125162690195445</v>
      </c>
      <c r="S361" s="7">
        <v>0.41321146123165459</v>
      </c>
      <c r="T361" s="171">
        <f t="shared" si="10"/>
        <v>0.78661445197091995</v>
      </c>
      <c r="U361" s="171">
        <f t="shared" si="11"/>
        <v>0.30944649997991941</v>
      </c>
    </row>
    <row r="362" spans="1:21" s="42" customFormat="1">
      <c r="A362" s="5">
        <v>599</v>
      </c>
      <c r="B362" s="28">
        <v>15.159000000000001</v>
      </c>
      <c r="C362" s="5" t="s">
        <v>150</v>
      </c>
      <c r="D362" s="5">
        <v>50</v>
      </c>
      <c r="E362" s="5">
        <v>2</v>
      </c>
      <c r="F362" s="24">
        <v>50.588000000000001</v>
      </c>
      <c r="G362" s="24">
        <v>-145.298</v>
      </c>
      <c r="H362" s="5">
        <v>21</v>
      </c>
      <c r="I362" s="25">
        <v>43335.818055555559</v>
      </c>
      <c r="J362" s="26">
        <v>43335.818055555559</v>
      </c>
      <c r="K362" s="7">
        <v>2.2232297999999999</v>
      </c>
      <c r="L362" s="7">
        <v>1.4188900966385505</v>
      </c>
      <c r="M362" s="7">
        <v>6.6597141506873084E-2</v>
      </c>
      <c r="N362" s="6">
        <v>436.03796073559863</v>
      </c>
      <c r="O362" s="6">
        <v>27.86936921847996</v>
      </c>
      <c r="P362" s="7">
        <v>5.3045246601367619</v>
      </c>
      <c r="Q362" s="7">
        <v>1.8998610814664527</v>
      </c>
      <c r="R362" s="67">
        <v>2.3129741154777279</v>
      </c>
      <c r="S362" s="7">
        <v>0.84149897111814909</v>
      </c>
      <c r="T362" s="171">
        <f t="shared" si="10"/>
        <v>1.6354087728288969</v>
      </c>
      <c r="U362" s="171">
        <f t="shared" si="11"/>
        <v>0.63162648902376728</v>
      </c>
    </row>
    <row r="363" spans="1:21" s="42" customFormat="1">
      <c r="A363" s="5">
        <v>598</v>
      </c>
      <c r="B363" s="28">
        <v>25.066999999999901</v>
      </c>
      <c r="C363" s="5" t="s">
        <v>150</v>
      </c>
      <c r="D363" s="5">
        <v>50</v>
      </c>
      <c r="E363" s="5">
        <v>2</v>
      </c>
      <c r="F363" s="24">
        <v>50.588000000000001</v>
      </c>
      <c r="G363" s="24">
        <v>-145.298</v>
      </c>
      <c r="H363" s="5">
        <v>19</v>
      </c>
      <c r="I363" s="25">
        <v>43335.818055555559</v>
      </c>
      <c r="J363" s="26">
        <v>43335.818055555559</v>
      </c>
      <c r="K363" s="7">
        <v>2.2232062200000002</v>
      </c>
      <c r="L363" s="7">
        <v>1.346117886536367</v>
      </c>
      <c r="M363" s="7">
        <v>6.4300919080765281E-2</v>
      </c>
      <c r="N363" s="6">
        <v>883.6188211923909</v>
      </c>
      <c r="O363" s="6">
        <v>43.051037233158056</v>
      </c>
      <c r="P363" s="7">
        <v>5.3045246601367619</v>
      </c>
      <c r="Q363" s="7">
        <v>1.8998610814664527</v>
      </c>
      <c r="R363" s="67">
        <v>4.6871778271760132</v>
      </c>
      <c r="S363" s="7">
        <v>1.6942143816747899</v>
      </c>
      <c r="T363" s="171">
        <f t="shared" si="10"/>
        <v>3.3141104723471995</v>
      </c>
      <c r="U363" s="171">
        <f t="shared" si="11"/>
        <v>1.2726098323280992</v>
      </c>
    </row>
    <row r="364" spans="1:21" s="42" customFormat="1">
      <c r="A364" s="5">
        <v>597</v>
      </c>
      <c r="B364" s="28">
        <v>50.646000000000001</v>
      </c>
      <c r="C364" s="5" t="s">
        <v>150</v>
      </c>
      <c r="D364" s="5">
        <v>50</v>
      </c>
      <c r="E364" s="5">
        <v>2</v>
      </c>
      <c r="F364" s="24">
        <v>50.588000000000001</v>
      </c>
      <c r="G364" s="24">
        <v>-145.298</v>
      </c>
      <c r="H364" s="5">
        <v>17</v>
      </c>
      <c r="I364" s="25">
        <v>43335.818055555559</v>
      </c>
      <c r="J364" s="26">
        <v>43335.818055555559</v>
      </c>
      <c r="K364" s="7">
        <v>2.2420466400000003</v>
      </c>
      <c r="L364" s="7">
        <v>1.6381901086471689</v>
      </c>
      <c r="M364" s="7">
        <v>7.2102858430585254E-2</v>
      </c>
      <c r="N364" s="6">
        <v>1318.616595642558</v>
      </c>
      <c r="O364" s="6">
        <v>67.462601971920662</v>
      </c>
      <c r="P364" s="67">
        <v>5.2562897999999993</v>
      </c>
      <c r="Q364" s="7">
        <v>1.8693720610749827</v>
      </c>
      <c r="R364" s="67">
        <v>6.9310309617867016</v>
      </c>
      <c r="S364" s="7">
        <v>2.4903603037607351</v>
      </c>
      <c r="T364" s="171">
        <f t="shared" si="10"/>
        <v>4.9006466452883339</v>
      </c>
      <c r="U364" s="171">
        <f t="shared" si="11"/>
        <v>1.8719148655708004</v>
      </c>
    </row>
    <row r="365" spans="1:21" s="42" customFormat="1">
      <c r="A365" s="5">
        <v>596</v>
      </c>
      <c r="B365" s="28">
        <v>75.161999999999907</v>
      </c>
      <c r="C365" s="5" t="s">
        <v>150</v>
      </c>
      <c r="D365" s="5">
        <v>50</v>
      </c>
      <c r="E365" s="5">
        <v>2</v>
      </c>
      <c r="F365" s="24">
        <v>50.588000000000001</v>
      </c>
      <c r="G365" s="24">
        <v>-145.298</v>
      </c>
      <c r="H365" s="5">
        <v>15</v>
      </c>
      <c r="I365" s="25">
        <v>43335.818055555559</v>
      </c>
      <c r="J365" s="26">
        <v>43335.818055555559</v>
      </c>
      <c r="K365" s="7">
        <v>2.2455286200000004</v>
      </c>
      <c r="L365" s="7">
        <v>1.7767255853978376</v>
      </c>
      <c r="M365" s="7">
        <v>7.6425749412770583E-2</v>
      </c>
      <c r="N365" s="6">
        <v>1618.2308278071237</v>
      </c>
      <c r="O365" s="6">
        <v>83.288322029865341</v>
      </c>
      <c r="P365" s="67">
        <v>3.4494606000000063</v>
      </c>
      <c r="Q365" s="7">
        <v>0.89621036744636806</v>
      </c>
      <c r="R365" s="67">
        <v>5.5820234822260675</v>
      </c>
      <c r="S365" s="7">
        <v>1.4784584716213176</v>
      </c>
      <c r="T365" s="171">
        <f t="shared" si="10"/>
        <v>3.946818994592991</v>
      </c>
      <c r="U365" s="171">
        <f t="shared" si="11"/>
        <v>1.1638355050550433</v>
      </c>
    </row>
    <row r="366" spans="1:21" s="42" customFormat="1">
      <c r="A366" s="5">
        <v>595</v>
      </c>
      <c r="B366" s="28">
        <v>95.09</v>
      </c>
      <c r="C366" s="5" t="s">
        <v>150</v>
      </c>
      <c r="D366" s="5">
        <v>50</v>
      </c>
      <c r="E366" s="5">
        <v>2</v>
      </c>
      <c r="F366" s="24">
        <v>50.588000000000001</v>
      </c>
      <c r="G366" s="24">
        <v>-145.298</v>
      </c>
      <c r="H366" s="5">
        <v>13</v>
      </c>
      <c r="I366" s="25">
        <v>43335.818055555559</v>
      </c>
      <c r="J366" s="26">
        <v>43335.818055555559</v>
      </c>
      <c r="K366" s="7">
        <v>2.2533021600000005</v>
      </c>
      <c r="L366" s="7">
        <v>2.0407635736486247</v>
      </c>
      <c r="M366" s="7">
        <v>8.4134748329959416E-2</v>
      </c>
      <c r="N366" s="6">
        <v>1726.1153334744195</v>
      </c>
      <c r="O366" s="6">
        <v>93.599211923699514</v>
      </c>
      <c r="P366" s="67">
        <v>1.9807669999999984</v>
      </c>
      <c r="Q366" s="7">
        <v>0.3603276436167297</v>
      </c>
      <c r="R366" s="67">
        <v>3.4190322907401227</v>
      </c>
      <c r="S366" s="7">
        <v>0.64901120238782239</v>
      </c>
      <c r="T366" s="171">
        <f t="shared" si="10"/>
        <v>2.4174569725812907</v>
      </c>
      <c r="U366" s="171">
        <f t="shared" si="11"/>
        <v>0.55567586021629556</v>
      </c>
    </row>
    <row r="367" spans="1:21" s="42" customFormat="1">
      <c r="A367" s="5">
        <v>594</v>
      </c>
      <c r="B367" s="28">
        <v>110.461</v>
      </c>
      <c r="C367" s="5" t="s">
        <v>150</v>
      </c>
      <c r="D367" s="5">
        <v>50</v>
      </c>
      <c r="E367" s="5">
        <v>2</v>
      </c>
      <c r="F367" s="24">
        <v>50.588000000000001</v>
      </c>
      <c r="G367" s="24">
        <v>-145.298</v>
      </c>
      <c r="H367" s="5">
        <v>11</v>
      </c>
      <c r="I367" s="25">
        <v>43335.818055555559</v>
      </c>
      <c r="J367" s="26">
        <v>43335.818055555559</v>
      </c>
      <c r="K367" s="7">
        <v>2.2711365000000003</v>
      </c>
      <c r="L367" s="7">
        <v>2.1964816829480194</v>
      </c>
      <c r="M367" s="7">
        <v>8.6549968244695394E-2</v>
      </c>
      <c r="N367" s="6">
        <v>1758.2881419262987</v>
      </c>
      <c r="O367" s="6">
        <v>100.75729947833273</v>
      </c>
      <c r="P367" s="67">
        <v>1.5108439</v>
      </c>
      <c r="Q367" s="7">
        <v>0.27577511817329631</v>
      </c>
      <c r="R367" s="67">
        <v>2.6564989136716828</v>
      </c>
      <c r="S367" s="7">
        <v>0.50822622914102344</v>
      </c>
      <c r="T367" s="171">
        <f t="shared" si="10"/>
        <v>1.8783010148523809</v>
      </c>
      <c r="U367" s="171">
        <f t="shared" si="11"/>
        <v>0.43406163380506513</v>
      </c>
    </row>
    <row r="368" spans="1:21" s="42" customFormat="1">
      <c r="A368" s="5">
        <v>593</v>
      </c>
      <c r="B368" s="28">
        <v>125.059</v>
      </c>
      <c r="C368" s="5" t="s">
        <v>150</v>
      </c>
      <c r="D368" s="5">
        <v>50</v>
      </c>
      <c r="E368" s="5">
        <v>2</v>
      </c>
      <c r="F368" s="24">
        <v>50.588000000000001</v>
      </c>
      <c r="G368" s="24">
        <v>-145.298</v>
      </c>
      <c r="H368" s="5">
        <v>9</v>
      </c>
      <c r="I368" s="25">
        <v>43335.818055555559</v>
      </c>
      <c r="J368" s="26">
        <v>43335.818055555559</v>
      </c>
      <c r="K368" s="7">
        <v>2.2962727799999998</v>
      </c>
      <c r="L368" s="7">
        <v>2.3995483839789067</v>
      </c>
      <c r="M368" s="7">
        <v>9.4203224388669696E-2</v>
      </c>
      <c r="N368" s="6">
        <v>1698.0538418370952</v>
      </c>
      <c r="O368" s="6">
        <v>114.76393173243611</v>
      </c>
      <c r="P368" s="67">
        <v>1.3634041000000001</v>
      </c>
      <c r="Q368" s="7">
        <v>0.28661879513218436</v>
      </c>
      <c r="R368" s="67">
        <v>2.3151335699814473</v>
      </c>
      <c r="S368" s="7">
        <v>0.51122786739147252</v>
      </c>
      <c r="T368" s="171">
        <f t="shared" si="10"/>
        <v>1.6369356342045929</v>
      </c>
      <c r="U368" s="171">
        <f t="shared" si="11"/>
        <v>0.41914553221386258</v>
      </c>
    </row>
    <row r="369" spans="1:21" s="42" customFormat="1">
      <c r="A369" s="5">
        <v>592</v>
      </c>
      <c r="B369" s="28">
        <v>151.02000000000001</v>
      </c>
      <c r="C369" s="5" t="s">
        <v>150</v>
      </c>
      <c r="D369" s="5">
        <v>50</v>
      </c>
      <c r="E369" s="5">
        <v>2</v>
      </c>
      <c r="F369" s="24">
        <v>50.588000000000001</v>
      </c>
      <c r="G369" s="24">
        <v>-145.298</v>
      </c>
      <c r="H369" s="5">
        <v>7</v>
      </c>
      <c r="I369" s="25">
        <v>43335.818055555559</v>
      </c>
      <c r="J369" s="26">
        <v>43335.818055555559</v>
      </c>
      <c r="K369" s="7">
        <v>2.3217941999999998</v>
      </c>
      <c r="L369" s="7">
        <v>2.3718419995067372</v>
      </c>
      <c r="M369" s="7">
        <v>8.9646687536325473E-2</v>
      </c>
      <c r="N369" s="6">
        <v>1646.8797526368744</v>
      </c>
      <c r="O369" s="6">
        <v>146.87774246824304</v>
      </c>
      <c r="P369" s="67">
        <v>1.1148640000000001</v>
      </c>
      <c r="Q369" s="7">
        <v>0.28268308746304005</v>
      </c>
      <c r="R369" s="67">
        <v>1.8360469485437565</v>
      </c>
      <c r="S369" s="7">
        <v>0.4935036329338211</v>
      </c>
      <c r="T369" s="171">
        <f t="shared" si="10"/>
        <v>1.2981932079918683</v>
      </c>
      <c r="U369" s="171">
        <f t="shared" si="11"/>
        <v>0.38739390410236929</v>
      </c>
    </row>
    <row r="370" spans="1:21" s="42" customFormat="1">
      <c r="A370" s="5">
        <v>591</v>
      </c>
      <c r="B370" s="28">
        <v>196.16499999999999</v>
      </c>
      <c r="C370" s="5" t="s">
        <v>150</v>
      </c>
      <c r="D370" s="5">
        <v>50</v>
      </c>
      <c r="E370" s="5">
        <v>2</v>
      </c>
      <c r="F370" s="24">
        <v>50.588000000000001</v>
      </c>
      <c r="G370" s="24">
        <v>-145.298</v>
      </c>
      <c r="H370" s="5">
        <v>5</v>
      </c>
      <c r="I370" s="25">
        <v>43335.818055555559</v>
      </c>
      <c r="J370" s="26">
        <v>43335.818055555559</v>
      </c>
      <c r="K370" s="7">
        <v>2.3346060000000004</v>
      </c>
      <c r="L370" s="7">
        <v>2.2438289961189293</v>
      </c>
      <c r="M370" s="7">
        <v>8.7520331443939836E-2</v>
      </c>
      <c r="N370" s="6">
        <v>1881.2216756643656</v>
      </c>
      <c r="O370" s="6">
        <v>269.48023657804083</v>
      </c>
      <c r="P370" s="67">
        <v>1.033603</v>
      </c>
      <c r="Q370" s="7">
        <v>7.627056796491001E-2</v>
      </c>
      <c r="R370" s="67">
        <v>1.9444363676317156</v>
      </c>
      <c r="S370" s="7">
        <v>0.31331950131161634</v>
      </c>
      <c r="T370" s="171">
        <f t="shared" si="10"/>
        <v>1.3748309038796427</v>
      </c>
      <c r="U370" s="171">
        <f t="shared" si="11"/>
        <v>0.28431959678500274</v>
      </c>
    </row>
    <row r="371" spans="1:21" s="42" customFormat="1">
      <c r="A371" s="5">
        <v>590</v>
      </c>
      <c r="B371" s="28">
        <v>330.541</v>
      </c>
      <c r="C371" s="5" t="s">
        <v>150</v>
      </c>
      <c r="D371" s="5">
        <v>50</v>
      </c>
      <c r="E371" s="5">
        <v>2</v>
      </c>
      <c r="F371" s="24">
        <v>50.588000000000001</v>
      </c>
      <c r="G371" s="24">
        <v>-145.298</v>
      </c>
      <c r="H371" s="5">
        <v>3</v>
      </c>
      <c r="I371" s="25">
        <v>43335.818055555559</v>
      </c>
      <c r="J371" s="26">
        <v>43335.818055555559</v>
      </c>
      <c r="K371" s="7">
        <v>2.3497443600000003</v>
      </c>
      <c r="L371" s="7">
        <v>2.0889659104238478</v>
      </c>
      <c r="M371" s="7">
        <v>8.3904110748643526E-2</v>
      </c>
      <c r="N371" s="6">
        <v>3015.909891902962</v>
      </c>
      <c r="O371" s="6">
        <v>453.76539157941153</v>
      </c>
      <c r="P371" s="67">
        <v>0.92978360000000004</v>
      </c>
      <c r="Q371" s="7">
        <v>0.1489285167602396</v>
      </c>
      <c r="R371" s="67">
        <v>2.804143556569147</v>
      </c>
      <c r="S371" s="7">
        <v>0.61623280199373209</v>
      </c>
      <c r="T371" s="171">
        <f t="shared" si="10"/>
        <v>1.9826944633738881</v>
      </c>
      <c r="U371" s="171">
        <f t="shared" si="11"/>
        <v>0.50586389276219623</v>
      </c>
    </row>
    <row r="372" spans="1:21" s="42" customFormat="1">
      <c r="A372" s="5">
        <v>589</v>
      </c>
      <c r="B372" s="28">
        <v>498.74900000000002</v>
      </c>
      <c r="C372" s="5" t="s">
        <v>150</v>
      </c>
      <c r="D372" s="5">
        <v>50</v>
      </c>
      <c r="E372" s="5">
        <v>2</v>
      </c>
      <c r="F372" s="24">
        <v>50.588000000000001</v>
      </c>
      <c r="G372" s="24">
        <v>-145.298</v>
      </c>
      <c r="H372" s="5">
        <v>1</v>
      </c>
      <c r="I372" s="25">
        <v>43335.818055555559</v>
      </c>
      <c r="J372" s="26">
        <v>43335.818055555559</v>
      </c>
      <c r="K372" s="7">
        <v>2.3655901200000002</v>
      </c>
      <c r="L372" s="7">
        <v>2.1910366872680918</v>
      </c>
      <c r="M372" s="7">
        <v>8.5928681173282492E-2</v>
      </c>
      <c r="N372" s="6">
        <v>3438.1251531334547</v>
      </c>
      <c r="O372" s="6">
        <v>499.10258454082077</v>
      </c>
      <c r="P372" s="68">
        <v>0.87680272990205399</v>
      </c>
      <c r="Q372" s="7">
        <v>0.15828163628098546</v>
      </c>
      <c r="R372" s="67">
        <v>3.0145575200123305</v>
      </c>
      <c r="S372" s="7">
        <v>0.69832046556577276</v>
      </c>
      <c r="T372" s="171">
        <f t="shared" si="10"/>
        <v>2.1314695142652842</v>
      </c>
      <c r="U372" s="171">
        <f t="shared" si="11"/>
        <v>0.56580025221472108</v>
      </c>
    </row>
    <row r="373" spans="1:21" s="42" customFormat="1">
      <c r="A373" s="5">
        <v>625</v>
      </c>
      <c r="B373" s="28">
        <v>4.6609999999999996</v>
      </c>
      <c r="C373" s="5" t="s">
        <v>151</v>
      </c>
      <c r="D373" s="5">
        <v>53</v>
      </c>
      <c r="E373" s="5">
        <v>2</v>
      </c>
      <c r="F373" s="24">
        <v>50.750999999999998</v>
      </c>
      <c r="G373" s="24">
        <v>-145.417</v>
      </c>
      <c r="H373" s="5">
        <v>13</v>
      </c>
      <c r="I373" s="25">
        <v>43336.263194444444</v>
      </c>
      <c r="J373" s="26">
        <v>43336.263194444444</v>
      </c>
      <c r="K373" s="7">
        <v>2.2230726000000001</v>
      </c>
      <c r="L373" s="7">
        <v>1.2885573228968883</v>
      </c>
      <c r="M373" s="7">
        <v>6.7618330124137788E-2</v>
      </c>
      <c r="N373" s="6">
        <v>332.15519481778512</v>
      </c>
      <c r="O373" s="6">
        <v>24.033614180454052</v>
      </c>
      <c r="P373" s="7">
        <v>5.3045246601367619</v>
      </c>
      <c r="Q373" s="7">
        <v>1.8998610814664527</v>
      </c>
      <c r="R373" s="67">
        <v>1.7619254219034715</v>
      </c>
      <c r="S373" s="7">
        <v>0.64379764374980675</v>
      </c>
      <c r="T373" s="171">
        <f t="shared" si="10"/>
        <v>1.2457849280583264</v>
      </c>
      <c r="U373" s="171">
        <f t="shared" si="11"/>
        <v>0.4829979364735219</v>
      </c>
    </row>
    <row r="374" spans="1:21" s="42" customFormat="1">
      <c r="A374" s="5">
        <v>626</v>
      </c>
      <c r="B374" s="28">
        <v>20.055999999999901</v>
      </c>
      <c r="C374" s="5" t="s">
        <v>151</v>
      </c>
      <c r="D374" s="5">
        <v>53</v>
      </c>
      <c r="E374" s="5">
        <v>2</v>
      </c>
      <c r="F374" s="24">
        <v>50.750999999999998</v>
      </c>
      <c r="G374" s="24">
        <v>-145.417</v>
      </c>
      <c r="H374" s="5">
        <v>12</v>
      </c>
      <c r="I374" s="25">
        <v>43336.263194444444</v>
      </c>
      <c r="J374" s="26">
        <v>43336.263194444444</v>
      </c>
      <c r="K374" s="7">
        <v>2.2232455199999999</v>
      </c>
      <c r="L374" s="7">
        <v>1.1687713252541225</v>
      </c>
      <c r="M374" s="7">
        <v>6.1231985841607245E-2</v>
      </c>
      <c r="N374" s="6">
        <v>784.21981805303312</v>
      </c>
      <c r="O374" s="6">
        <v>35.59101399486407</v>
      </c>
      <c r="P374" s="7">
        <v>5.3045246601367619</v>
      </c>
      <c r="Q374" s="7">
        <v>1.8998610814664527</v>
      </c>
      <c r="R374" s="67">
        <v>4.1599133638302792</v>
      </c>
      <c r="S374" s="7">
        <v>1.501822533189457</v>
      </c>
      <c r="T374" s="171">
        <f t="shared" si="10"/>
        <v>2.9413034775839084</v>
      </c>
      <c r="U374" s="171">
        <f t="shared" si="11"/>
        <v>1.128249478985752</v>
      </c>
    </row>
    <row r="375" spans="1:21" s="42" customFormat="1">
      <c r="A375" s="5">
        <v>627</v>
      </c>
      <c r="B375" s="28">
        <v>34.473999999999997</v>
      </c>
      <c r="C375" s="5" t="s">
        <v>151</v>
      </c>
      <c r="D375" s="5">
        <v>53</v>
      </c>
      <c r="E375" s="5">
        <v>2</v>
      </c>
      <c r="F375" s="24">
        <v>50.750999999999998</v>
      </c>
      <c r="G375" s="24">
        <v>-145.417</v>
      </c>
      <c r="H375" s="5">
        <v>11</v>
      </c>
      <c r="I375" s="25">
        <v>43336.263194444444</v>
      </c>
      <c r="J375" s="26">
        <v>43336.263194444444</v>
      </c>
      <c r="K375" s="7">
        <v>2.2357586399999998</v>
      </c>
      <c r="L375" s="7">
        <v>1.1520332603748296</v>
      </c>
      <c r="M375" s="7">
        <v>5.9499618208154186E-2</v>
      </c>
      <c r="N375" s="6">
        <v>1257.0998328332325</v>
      </c>
      <c r="O375" s="6">
        <v>44.054168645001859</v>
      </c>
      <c r="P375" s="7">
        <v>5.3045246601367619</v>
      </c>
      <c r="Q375" s="7">
        <v>1.8998610814664527</v>
      </c>
      <c r="R375" s="67">
        <v>6.6683170635176827</v>
      </c>
      <c r="S375" s="7">
        <v>2.3997204238939291</v>
      </c>
      <c r="T375" s="171">
        <f t="shared" si="10"/>
        <v>4.7148924636491278</v>
      </c>
      <c r="U375" s="171">
        <f t="shared" si="11"/>
        <v>1.8034593034577098</v>
      </c>
    </row>
    <row r="376" spans="1:21" s="42" customFormat="1">
      <c r="A376" s="5">
        <v>628</v>
      </c>
      <c r="B376" s="28">
        <v>50.4</v>
      </c>
      <c r="C376" s="5" t="s">
        <v>151</v>
      </c>
      <c r="D376" s="5">
        <v>53</v>
      </c>
      <c r="E376" s="5">
        <v>2</v>
      </c>
      <c r="F376" s="24">
        <v>50.750999999999998</v>
      </c>
      <c r="G376" s="24">
        <v>-145.417</v>
      </c>
      <c r="H376" s="5">
        <v>10</v>
      </c>
      <c r="I376" s="25">
        <v>43336.263194444444</v>
      </c>
      <c r="J376" s="26">
        <v>43336.263194444444</v>
      </c>
      <c r="K376" s="7">
        <v>2.2398851400000002</v>
      </c>
      <c r="L376" s="7">
        <v>1.5809064477194417</v>
      </c>
      <c r="M376" s="7">
        <v>7.0822239006100865E-2</v>
      </c>
      <c r="N376" s="6">
        <v>1555.5689827347724</v>
      </c>
      <c r="O376" s="6">
        <v>54.495161130258893</v>
      </c>
      <c r="P376" s="7">
        <v>5.3045246601367619</v>
      </c>
      <c r="Q376" s="7">
        <v>1.8998610814664527</v>
      </c>
      <c r="R376" s="67">
        <v>8.2515540294604559</v>
      </c>
      <c r="S376" s="7">
        <v>2.9694686570536266</v>
      </c>
      <c r="T376" s="171">
        <f t="shared" si="10"/>
        <v>5.8343341410303848</v>
      </c>
      <c r="U376" s="171">
        <f t="shared" si="11"/>
        <v>2.2316424101612755</v>
      </c>
    </row>
    <row r="377" spans="1:21" s="42" customFormat="1">
      <c r="A377" s="5">
        <v>629</v>
      </c>
      <c r="B377" s="28">
        <v>65.971000000000004</v>
      </c>
      <c r="C377" s="5" t="s">
        <v>151</v>
      </c>
      <c r="D377" s="5">
        <v>53</v>
      </c>
      <c r="E377" s="5">
        <v>2</v>
      </c>
      <c r="F377" s="24">
        <v>50.750999999999998</v>
      </c>
      <c r="G377" s="24">
        <v>-145.417</v>
      </c>
      <c r="H377" s="5">
        <v>9</v>
      </c>
      <c r="I377" s="25">
        <v>43336.263194444444</v>
      </c>
      <c r="J377" s="26">
        <v>43336.263194444444</v>
      </c>
      <c r="K377" s="7">
        <v>2.24398806</v>
      </c>
      <c r="L377" s="7">
        <v>2.2531097729617948</v>
      </c>
      <c r="M377" s="7">
        <v>9.1516762938188931E-2</v>
      </c>
      <c r="N377" s="6">
        <v>1551.77081748567</v>
      </c>
      <c r="O377" s="6">
        <v>66.496778316988724</v>
      </c>
      <c r="P377" s="67">
        <v>4.1268372999999992</v>
      </c>
      <c r="Q377" s="7">
        <v>1.2204682260529649</v>
      </c>
      <c r="R377" s="67">
        <v>6.4039056906513538</v>
      </c>
      <c r="S377" s="7">
        <v>1.9136653254172336</v>
      </c>
      <c r="T377" s="171">
        <f t="shared" si="10"/>
        <v>4.5279380676065184</v>
      </c>
      <c r="U377" s="171">
        <f t="shared" si="11"/>
        <v>1.474890250207282</v>
      </c>
    </row>
    <row r="378" spans="1:21" s="42" customFormat="1">
      <c r="A378" s="5">
        <v>630</v>
      </c>
      <c r="B378" s="28">
        <v>79.355999999999995</v>
      </c>
      <c r="C378" s="5" t="s">
        <v>151</v>
      </c>
      <c r="D378" s="5">
        <v>53</v>
      </c>
      <c r="E378" s="5">
        <v>2</v>
      </c>
      <c r="F378" s="24">
        <v>50.750999999999998</v>
      </c>
      <c r="G378" s="24">
        <v>-145.417</v>
      </c>
      <c r="H378" s="5">
        <v>8</v>
      </c>
      <c r="I378" s="25">
        <v>43336.263194444444</v>
      </c>
      <c r="J378" s="26">
        <v>43336.263194444444</v>
      </c>
      <c r="K378" s="7">
        <v>2.2462596000000001</v>
      </c>
      <c r="L378" s="7">
        <v>2.0393235062131696</v>
      </c>
      <c r="M378" s="7">
        <v>8.5114103753342399E-2</v>
      </c>
      <c r="N378" s="6">
        <v>1640.0789082520248</v>
      </c>
      <c r="O378" s="6">
        <v>75.769948258809308</v>
      </c>
      <c r="P378" s="67">
        <v>3.1403627999999992</v>
      </c>
      <c r="Q378" s="7">
        <v>0.7644189352712687</v>
      </c>
      <c r="R378" s="67">
        <v>5.1504427925392697</v>
      </c>
      <c r="S378" s="7">
        <v>1.2760877947976192</v>
      </c>
      <c r="T378" s="171">
        <f t="shared" si="10"/>
        <v>3.6416660569209864</v>
      </c>
      <c r="U378" s="171">
        <f t="shared" si="11"/>
        <v>1.0182937243606585</v>
      </c>
    </row>
    <row r="379" spans="1:21" s="42" customFormat="1">
      <c r="A379" s="5">
        <v>631</v>
      </c>
      <c r="B379" s="28">
        <v>95.647000000000006</v>
      </c>
      <c r="C379" s="5" t="s">
        <v>151</v>
      </c>
      <c r="D379" s="5">
        <v>53</v>
      </c>
      <c r="E379" s="5">
        <v>2</v>
      </c>
      <c r="F379" s="24">
        <v>50.750999999999998</v>
      </c>
      <c r="G379" s="24">
        <v>-145.417</v>
      </c>
      <c r="H379" s="5">
        <v>7</v>
      </c>
      <c r="I379" s="25">
        <v>43336.263194444444</v>
      </c>
      <c r="J379" s="26">
        <v>43336.263194444444</v>
      </c>
      <c r="K379" s="7">
        <v>2.2490656200000001</v>
      </c>
      <c r="L379" s="7">
        <v>2.2656910924415703</v>
      </c>
      <c r="M379" s="7">
        <v>8.9371661372271261E-2</v>
      </c>
      <c r="N379" s="6">
        <v>1632.7340678006731</v>
      </c>
      <c r="O379" s="6">
        <v>85.439911101020613</v>
      </c>
      <c r="P379" s="67">
        <v>1.9397160999999983</v>
      </c>
      <c r="Q379" s="7">
        <v>0.34863657436451928</v>
      </c>
      <c r="R379" s="67">
        <v>3.167040558331454</v>
      </c>
      <c r="S379" s="7">
        <v>0.59286581599804966</v>
      </c>
      <c r="T379" s="171">
        <f t="shared" si="10"/>
        <v>2.2392839929946295</v>
      </c>
      <c r="U379" s="171">
        <f t="shared" si="11"/>
        <v>0.50987870218246323</v>
      </c>
    </row>
    <row r="380" spans="1:21" s="42" customFormat="1">
      <c r="A380" s="5">
        <v>632</v>
      </c>
      <c r="B380" s="28">
        <v>110.07799999999899</v>
      </c>
      <c r="C380" s="5" t="s">
        <v>151</v>
      </c>
      <c r="D380" s="5">
        <v>53</v>
      </c>
      <c r="E380" s="5">
        <v>2</v>
      </c>
      <c r="F380" s="24">
        <v>50.750999999999998</v>
      </c>
      <c r="G380" s="24">
        <v>-145.417</v>
      </c>
      <c r="H380" s="5">
        <v>6</v>
      </c>
      <c r="I380" s="25">
        <v>43336.263194444444</v>
      </c>
      <c r="J380" s="26">
        <v>43336.263194444444</v>
      </c>
      <c r="K380" s="7">
        <v>2.2705863000000002</v>
      </c>
      <c r="L380" s="7">
        <v>2.3924466788134562</v>
      </c>
      <c r="M380" s="7">
        <v>9.2584422348072751E-2</v>
      </c>
      <c r="N380" s="6">
        <v>1579.6570705810675</v>
      </c>
      <c r="O380" s="6">
        <v>94.478247224523727</v>
      </c>
      <c r="P380" s="67">
        <v>1.5147122000000102</v>
      </c>
      <c r="Q380" s="7">
        <v>0.27538068530858417</v>
      </c>
      <c r="R380" s="67">
        <v>2.39272583662542</v>
      </c>
      <c r="S380" s="7">
        <v>0.45794196719568009</v>
      </c>
      <c r="T380" s="171">
        <f t="shared" si="10"/>
        <v>1.6917979315057552</v>
      </c>
      <c r="U380" s="171">
        <f t="shared" si="11"/>
        <v>0.39106709435194992</v>
      </c>
    </row>
    <row r="381" spans="1:21" s="42" customFormat="1">
      <c r="A381" s="5">
        <v>633</v>
      </c>
      <c r="B381" s="28">
        <v>125.93600000000001</v>
      </c>
      <c r="C381" s="5" t="s">
        <v>151</v>
      </c>
      <c r="D381" s="5">
        <v>53</v>
      </c>
      <c r="E381" s="5">
        <v>2</v>
      </c>
      <c r="F381" s="24">
        <v>50.750999999999998</v>
      </c>
      <c r="G381" s="24">
        <v>-145.417</v>
      </c>
      <c r="H381" s="5">
        <v>5</v>
      </c>
      <c r="I381" s="25">
        <v>43336.263194444444</v>
      </c>
      <c r="J381" s="26">
        <v>43336.263194444444</v>
      </c>
      <c r="K381" s="7">
        <v>2.2984106999999998</v>
      </c>
      <c r="L381" s="7">
        <v>2.2966025604214164</v>
      </c>
      <c r="M381" s="7">
        <v>9.1000074484523685E-2</v>
      </c>
      <c r="N381" s="6">
        <v>1580.5855679744379</v>
      </c>
      <c r="O381" s="6">
        <v>105.40293559137217</v>
      </c>
      <c r="P381" s="67">
        <v>1.3545464</v>
      </c>
      <c r="Q381" s="7">
        <v>0.28701022040186885</v>
      </c>
      <c r="R381" s="67">
        <v>2.1409764909917302</v>
      </c>
      <c r="S381" s="7">
        <v>0.47558095892347074</v>
      </c>
      <c r="T381" s="171">
        <f t="shared" si="10"/>
        <v>1.5137963336287144</v>
      </c>
      <c r="U381" s="171">
        <f t="shared" si="11"/>
        <v>0.38933011520656202</v>
      </c>
    </row>
    <row r="382" spans="1:21" s="42" customFormat="1">
      <c r="A382" s="5">
        <v>634</v>
      </c>
      <c r="B382" s="28">
        <v>145.78799999999899</v>
      </c>
      <c r="C382" s="5" t="s">
        <v>151</v>
      </c>
      <c r="D382" s="5">
        <v>53</v>
      </c>
      <c r="E382" s="5">
        <v>2</v>
      </c>
      <c r="F382" s="24">
        <v>50.750999999999998</v>
      </c>
      <c r="G382" s="24">
        <v>-145.417</v>
      </c>
      <c r="H382" s="5">
        <v>4</v>
      </c>
      <c r="I382" s="25">
        <v>43336.263194444444</v>
      </c>
      <c r="J382" s="26">
        <v>43336.263194444444</v>
      </c>
      <c r="K382" s="7">
        <v>2.3171882400000001</v>
      </c>
      <c r="L382" s="7">
        <v>2.423014695183733</v>
      </c>
      <c r="M382" s="7">
        <v>9.7874896458636673E-2</v>
      </c>
      <c r="N382" s="6">
        <v>1474.0317442824071</v>
      </c>
      <c r="O382" s="6">
        <v>144.29626014775158</v>
      </c>
      <c r="P382" s="67">
        <v>1.1540412000000104</v>
      </c>
      <c r="Q382" s="7">
        <v>0.28798617603244364</v>
      </c>
      <c r="R382" s="67">
        <v>1.7010933630097775</v>
      </c>
      <c r="S382" s="7">
        <v>0.45599461127350543</v>
      </c>
      <c r="T382" s="171">
        <f t="shared" si="10"/>
        <v>1.202773083646292</v>
      </c>
      <c r="U382" s="171">
        <f t="shared" si="11"/>
        <v>0.35813299966715267</v>
      </c>
    </row>
    <row r="383" spans="1:21" s="42" customFormat="1">
      <c r="A383" s="5">
        <v>635</v>
      </c>
      <c r="B383" s="28">
        <v>195.95500000000001</v>
      </c>
      <c r="C383" s="5" t="s">
        <v>151</v>
      </c>
      <c r="D383" s="5">
        <v>53</v>
      </c>
      <c r="E383" s="5">
        <v>2</v>
      </c>
      <c r="F383" s="24">
        <v>50.750999999999998</v>
      </c>
      <c r="G383" s="24">
        <v>-145.417</v>
      </c>
      <c r="H383" s="5">
        <v>3</v>
      </c>
      <c r="I383" s="25">
        <v>43336.263194444444</v>
      </c>
      <c r="J383" s="26">
        <v>43336.263194444444</v>
      </c>
      <c r="K383" s="7">
        <v>2.3343937800000001</v>
      </c>
      <c r="L383" s="7">
        <v>2.4000692241455868</v>
      </c>
      <c r="M383" s="7">
        <v>9.3252102119920507E-2</v>
      </c>
      <c r="N383" s="6">
        <v>1300.0057260421636</v>
      </c>
      <c r="O383" s="6">
        <v>286.14505285511649</v>
      </c>
      <c r="P383" s="67">
        <v>1.033981</v>
      </c>
      <c r="Q383" s="7">
        <v>7.7163096543389931E-2</v>
      </c>
      <c r="R383" s="67">
        <v>1.3441812206188024</v>
      </c>
      <c r="S383" s="7">
        <v>0.31241124937996406</v>
      </c>
      <c r="T383" s="171">
        <f t="shared" si="10"/>
        <v>0.95041520169273686</v>
      </c>
      <c r="U383" s="171">
        <f t="shared" si="11"/>
        <v>0.2529257677257995</v>
      </c>
    </row>
    <row r="384" spans="1:21" s="42" customFormat="1">
      <c r="A384" s="5">
        <v>636</v>
      </c>
      <c r="B384" s="28">
        <v>330.05699999999899</v>
      </c>
      <c r="C384" s="5" t="s">
        <v>151</v>
      </c>
      <c r="D384" s="5">
        <v>53</v>
      </c>
      <c r="E384" s="5">
        <v>2</v>
      </c>
      <c r="F384" s="24">
        <v>50.750999999999998</v>
      </c>
      <c r="G384" s="24">
        <v>-145.417</v>
      </c>
      <c r="H384" s="5">
        <v>2</v>
      </c>
      <c r="I384" s="25">
        <v>43336.263194444444</v>
      </c>
      <c r="J384" s="26">
        <v>43336.263194444444</v>
      </c>
      <c r="K384" s="7">
        <v>2.3510255400000002</v>
      </c>
      <c r="L384" s="7">
        <v>2.3617906791537564</v>
      </c>
      <c r="M384" s="7">
        <v>9.1516288515127511E-2</v>
      </c>
      <c r="N384" s="6">
        <v>1252.6785154667548</v>
      </c>
      <c r="O384" s="6">
        <v>493.71430866109904</v>
      </c>
      <c r="P384" s="67">
        <v>0.93978100734870584</v>
      </c>
      <c r="Q384" s="7">
        <v>0.1503684181233878</v>
      </c>
      <c r="R384" s="67">
        <v>1.1772434771494282</v>
      </c>
      <c r="S384" s="7">
        <v>0.50076068000514995</v>
      </c>
      <c r="T384" s="171">
        <f t="shared" si="10"/>
        <v>0.83238039604611769</v>
      </c>
      <c r="U384" s="171">
        <f t="shared" si="11"/>
        <v>0.37014250599685444</v>
      </c>
    </row>
    <row r="385" spans="1:21" s="42" customFormat="1">
      <c r="A385" s="5">
        <v>637</v>
      </c>
      <c r="B385" s="28">
        <v>501.68099999999998</v>
      </c>
      <c r="C385" s="5" t="s">
        <v>151</v>
      </c>
      <c r="D385" s="5">
        <v>53</v>
      </c>
      <c r="E385" s="5">
        <v>2</v>
      </c>
      <c r="F385" s="24">
        <v>50.750999999999998</v>
      </c>
      <c r="G385" s="24">
        <v>-145.417</v>
      </c>
      <c r="H385" s="5">
        <v>1</v>
      </c>
      <c r="I385" s="25">
        <v>43336.263194444444</v>
      </c>
      <c r="J385" s="26">
        <v>43336.263194444444</v>
      </c>
      <c r="K385" s="7">
        <v>2.3647726800000002</v>
      </c>
      <c r="L385" s="7">
        <v>2.2383253069084099</v>
      </c>
      <c r="M385" s="7">
        <v>8.9684843664737612E-2</v>
      </c>
      <c r="N385" s="6">
        <v>1564.7447044039509</v>
      </c>
      <c r="O385" s="6">
        <v>541.05852204586347</v>
      </c>
      <c r="P385" s="68">
        <v>0.87680272990205399</v>
      </c>
      <c r="Q385" s="7">
        <v>0.15828163628098546</v>
      </c>
      <c r="R385" s="67">
        <v>1.3719724284211665</v>
      </c>
      <c r="S385" s="7">
        <v>0.53516116371640843</v>
      </c>
      <c r="T385" s="171">
        <f t="shared" si="10"/>
        <v>0.97006522057680455</v>
      </c>
      <c r="U385" s="171">
        <f t="shared" si="11"/>
        <v>0.39873684703289103</v>
      </c>
    </row>
    <row r="386" spans="1:21" s="42" customFormat="1">
      <c r="A386" s="5">
        <v>638</v>
      </c>
      <c r="B386" s="28">
        <v>8.4169999999999998</v>
      </c>
      <c r="C386" s="5" t="s">
        <v>152</v>
      </c>
      <c r="D386" s="5">
        <v>54</v>
      </c>
      <c r="E386" s="5">
        <v>2</v>
      </c>
      <c r="F386" s="24">
        <v>50.695</v>
      </c>
      <c r="G386" s="24">
        <v>-145.184</v>
      </c>
      <c r="H386" s="5">
        <v>17</v>
      </c>
      <c r="I386" s="25">
        <v>43336.410416666666</v>
      </c>
      <c r="J386" s="26">
        <v>43336.410416666666</v>
      </c>
      <c r="K386" s="7">
        <v>2.2234970399999998</v>
      </c>
      <c r="L386" s="7">
        <v>1.3083775952632348</v>
      </c>
      <c r="M386" s="7">
        <v>6.1171809970259776E-2</v>
      </c>
      <c r="N386" s="6">
        <v>397.17754246542768</v>
      </c>
      <c r="O386" s="6">
        <v>26.549615235351833</v>
      </c>
      <c r="P386" s="7">
        <v>5.3045246601367619</v>
      </c>
      <c r="Q386" s="7">
        <v>1.8998610814664527</v>
      </c>
      <c r="R386" s="67">
        <v>2.1068380684603771</v>
      </c>
      <c r="S386" s="7">
        <v>0.76761200360188186</v>
      </c>
      <c r="T386" s="171">
        <f t="shared" si="10"/>
        <v>1.4896584605220873</v>
      </c>
      <c r="U386" s="171">
        <f t="shared" si="11"/>
        <v>0.57607347312170976</v>
      </c>
    </row>
    <row r="387" spans="1:21" s="42" customFormat="1">
      <c r="A387" s="5">
        <v>639</v>
      </c>
      <c r="B387" s="28">
        <v>21.765000000000001</v>
      </c>
      <c r="C387" s="5" t="s">
        <v>152</v>
      </c>
      <c r="D387" s="5">
        <v>54</v>
      </c>
      <c r="E387" s="5">
        <v>2</v>
      </c>
      <c r="F387" s="24">
        <v>50.695</v>
      </c>
      <c r="G387" s="24">
        <v>-145.184</v>
      </c>
      <c r="H387" s="5">
        <v>16</v>
      </c>
      <c r="I387" s="25">
        <v>43336.410416666666</v>
      </c>
      <c r="J387" s="26">
        <v>43336.410416666666</v>
      </c>
      <c r="K387" s="7">
        <v>2.2235049000000005</v>
      </c>
      <c r="L387" s="7">
        <v>1.1297632425092774</v>
      </c>
      <c r="M387" s="7">
        <v>6.7148543644724043E-2</v>
      </c>
      <c r="N387" s="6">
        <v>834.08579432481997</v>
      </c>
      <c r="O387" s="6">
        <v>37.740841409624629</v>
      </c>
      <c r="P387" s="7">
        <v>5.3045246601367619</v>
      </c>
      <c r="Q387" s="7">
        <v>1.8998610814664527</v>
      </c>
      <c r="R387" s="67">
        <v>4.4244286646657667</v>
      </c>
      <c r="S387" s="7">
        <v>1.597243088695343</v>
      </c>
      <c r="T387" s="171">
        <f t="shared" si="10"/>
        <v>3.1283313568148365</v>
      </c>
      <c r="U387" s="171">
        <f t="shared" si="11"/>
        <v>1.1999409796158553</v>
      </c>
    </row>
    <row r="388" spans="1:21" s="42" customFormat="1">
      <c r="A388" s="5">
        <v>640</v>
      </c>
      <c r="B388" s="28">
        <v>36.195999999999998</v>
      </c>
      <c r="C388" s="5" t="s">
        <v>152</v>
      </c>
      <c r="D388" s="5">
        <v>54</v>
      </c>
      <c r="E388" s="5">
        <v>2</v>
      </c>
      <c r="F388" s="24">
        <v>50.695</v>
      </c>
      <c r="G388" s="24">
        <v>-145.184</v>
      </c>
      <c r="H388" s="5">
        <v>15</v>
      </c>
      <c r="I388" s="25">
        <v>43336.410416666666</v>
      </c>
      <c r="J388" s="26">
        <v>43336.410416666666</v>
      </c>
      <c r="K388" s="7">
        <v>2.2272069600000002</v>
      </c>
      <c r="L388" s="7">
        <v>1.5663990807087225</v>
      </c>
      <c r="M388" s="7">
        <v>7.0453993082419189E-2</v>
      </c>
      <c r="N388" s="6">
        <v>1115.6139117966063</v>
      </c>
      <c r="O388" s="6">
        <v>48.221662225448576</v>
      </c>
      <c r="P388" s="7">
        <v>5.3045246601367619</v>
      </c>
      <c r="Q388" s="7">
        <v>1.8998610814664527</v>
      </c>
      <c r="R388" s="67">
        <v>5.9178015063167368</v>
      </c>
      <c r="S388" s="7">
        <v>2.1348908300592133</v>
      </c>
      <c r="T388" s="171">
        <f t="shared" si="10"/>
        <v>4.184233811579654</v>
      </c>
      <c r="U388" s="171">
        <f t="shared" si="11"/>
        <v>1.6039789160072289</v>
      </c>
    </row>
    <row r="389" spans="1:21" s="42" customFormat="1">
      <c r="A389" s="5">
        <v>641</v>
      </c>
      <c r="B389" s="28">
        <v>51.391999999999904</v>
      </c>
      <c r="C389" s="5" t="s">
        <v>152</v>
      </c>
      <c r="D389" s="5">
        <v>54</v>
      </c>
      <c r="E389" s="5">
        <v>2</v>
      </c>
      <c r="F389" s="24">
        <v>50.695</v>
      </c>
      <c r="G389" s="24">
        <v>-145.184</v>
      </c>
      <c r="H389" s="5">
        <v>14</v>
      </c>
      <c r="I389" s="25">
        <v>43336.410416666666</v>
      </c>
      <c r="J389" s="26">
        <v>43336.410416666666</v>
      </c>
      <c r="K389" s="7">
        <v>2.2397122199999999</v>
      </c>
      <c r="L389" s="7">
        <v>1.519111946835169</v>
      </c>
      <c r="M389" s="7">
        <v>6.7532008971718557E-2</v>
      </c>
      <c r="N389" s="6">
        <v>1429.5791769864195</v>
      </c>
      <c r="O389" s="6">
        <v>56.489654823847701</v>
      </c>
      <c r="P389" s="67">
        <v>5.2013096000000063</v>
      </c>
      <c r="Q389" s="7">
        <v>1.8346510278688553</v>
      </c>
      <c r="R389" s="67">
        <v>7.4356838972195716</v>
      </c>
      <c r="S389" s="7">
        <v>2.6391853843097768</v>
      </c>
      <c r="T389" s="171">
        <f t="shared" si="10"/>
        <v>5.2574659595720599</v>
      </c>
      <c r="U389" s="171">
        <f t="shared" si="11"/>
        <v>1.9866099670415955</v>
      </c>
    </row>
    <row r="390" spans="1:21" s="42" customFormat="1">
      <c r="A390" s="5">
        <v>642</v>
      </c>
      <c r="B390" s="28">
        <v>66.495000000000005</v>
      </c>
      <c r="C390" s="5" t="s">
        <v>152</v>
      </c>
      <c r="D390" s="5">
        <v>54</v>
      </c>
      <c r="E390" s="5">
        <v>2</v>
      </c>
      <c r="F390" s="24">
        <v>50.695</v>
      </c>
      <c r="G390" s="24">
        <v>-145.184</v>
      </c>
      <c r="H390" s="5">
        <v>13</v>
      </c>
      <c r="I390" s="25">
        <v>43336.410416666666</v>
      </c>
      <c r="J390" s="26">
        <v>43336.410416666666</v>
      </c>
      <c r="K390" s="7">
        <v>2.2425261000000001</v>
      </c>
      <c r="L390" s="7">
        <v>1.4586237875024051</v>
      </c>
      <c r="M390" s="7">
        <v>7.1828914941978295E-2</v>
      </c>
      <c r="N390" s="6">
        <v>1777.1671848347355</v>
      </c>
      <c r="O390" s="6">
        <v>64.849591656070416</v>
      </c>
      <c r="P390" s="67">
        <v>4.0882184999999991</v>
      </c>
      <c r="Q390" s="7">
        <v>1.2006731634533323</v>
      </c>
      <c r="R390" s="67">
        <v>7.2654477626342828</v>
      </c>
      <c r="S390" s="7">
        <v>2.1502040948046783</v>
      </c>
      <c r="T390" s="171">
        <f t="shared" si="10"/>
        <v>5.1370989973608294</v>
      </c>
      <c r="U390" s="171">
        <f t="shared" si="11"/>
        <v>1.6597572654595534</v>
      </c>
    </row>
    <row r="391" spans="1:21" s="42" customFormat="1">
      <c r="A391" s="5">
        <v>643</v>
      </c>
      <c r="B391" s="28">
        <v>82.227000000000004</v>
      </c>
      <c r="C391" s="5" t="s">
        <v>152</v>
      </c>
      <c r="D391" s="5">
        <v>54</v>
      </c>
      <c r="E391" s="5">
        <v>2</v>
      </c>
      <c r="F391" s="24">
        <v>50.695</v>
      </c>
      <c r="G391" s="24">
        <v>-145.184</v>
      </c>
      <c r="H391" s="5">
        <v>12</v>
      </c>
      <c r="I391" s="25">
        <v>43336.410416666666</v>
      </c>
      <c r="J391" s="26">
        <v>43336.410416666666</v>
      </c>
      <c r="K391" s="7">
        <v>2.2456779600000001</v>
      </c>
      <c r="L391" s="7">
        <v>2.2599893176502883</v>
      </c>
      <c r="M391" s="7">
        <v>9.4346968094971784E-2</v>
      </c>
      <c r="N391" s="6">
        <v>1770.8745200890237</v>
      </c>
      <c r="O391" s="6">
        <v>76.9831174323146</v>
      </c>
      <c r="P391" s="67">
        <v>2.9287700999999986</v>
      </c>
      <c r="Q391" s="7">
        <v>0.68004476880135545</v>
      </c>
      <c r="R391" s="67">
        <v>5.18648434528858</v>
      </c>
      <c r="S391" s="7">
        <v>1.2251981904808269</v>
      </c>
      <c r="T391" s="171">
        <f t="shared" ref="T391:T454" si="12">R391*U$1</f>
        <v>3.6671495550536162</v>
      </c>
      <c r="U391" s="171">
        <f t="shared" ref="U391:U454" si="13">((((S391/R391)^2+(V$1/U$1)^2))^0.5)*T391</f>
        <v>0.9881374303508984</v>
      </c>
    </row>
    <row r="392" spans="1:21" s="42" customFormat="1">
      <c r="A392" s="5">
        <v>645</v>
      </c>
      <c r="B392" s="28">
        <v>97.072000000000003</v>
      </c>
      <c r="C392" s="5" t="s">
        <v>152</v>
      </c>
      <c r="D392" s="5">
        <v>54</v>
      </c>
      <c r="E392" s="5">
        <v>2</v>
      </c>
      <c r="F392" s="24">
        <v>50.695</v>
      </c>
      <c r="G392" s="24">
        <v>-145.184</v>
      </c>
      <c r="H392" s="5">
        <v>11</v>
      </c>
      <c r="I392" s="25">
        <v>43336.410416666666</v>
      </c>
      <c r="J392" s="26">
        <v>43336.410416666666</v>
      </c>
      <c r="K392" s="7">
        <v>2.2550706599999999</v>
      </c>
      <c r="L392" s="7">
        <v>2.3376928665346304</v>
      </c>
      <c r="M392" s="7">
        <v>8.8244894487206876E-2</v>
      </c>
      <c r="N392" s="6">
        <v>1735.758819844491</v>
      </c>
      <c r="O392" s="6">
        <v>85.63327355353924</v>
      </c>
      <c r="P392" s="67">
        <v>1.8346935999999987</v>
      </c>
      <c r="Q392" s="7">
        <v>0.3195404235948669</v>
      </c>
      <c r="R392" s="67">
        <v>3.1845855979122386</v>
      </c>
      <c r="S392" s="7">
        <v>0.57646769715822743</v>
      </c>
      <c r="T392" s="171">
        <f t="shared" si="12"/>
        <v>2.2516893681598931</v>
      </c>
      <c r="U392" s="171">
        <f t="shared" si="13"/>
        <v>0.50132451576790005</v>
      </c>
    </row>
    <row r="393" spans="1:21" s="42" customFormat="1">
      <c r="A393" s="5">
        <v>644</v>
      </c>
      <c r="B393" s="28">
        <v>111.78299999999901</v>
      </c>
      <c r="C393" s="5" t="s">
        <v>152</v>
      </c>
      <c r="D393" s="5">
        <v>54</v>
      </c>
      <c r="E393" s="5">
        <v>2</v>
      </c>
      <c r="F393" s="24">
        <v>50.695</v>
      </c>
      <c r="G393" s="24">
        <v>-145.184</v>
      </c>
      <c r="H393" s="5">
        <v>10</v>
      </c>
      <c r="I393" s="25">
        <v>43336.410416666666</v>
      </c>
      <c r="J393" s="26">
        <v>43336.410416666666</v>
      </c>
      <c r="K393" s="7">
        <v>2.2774323600000002</v>
      </c>
      <c r="L393" s="7">
        <v>2.3408178161211106</v>
      </c>
      <c r="M393" s="7">
        <v>9.2820879414872812E-2</v>
      </c>
      <c r="N393" s="6">
        <v>1708.0096356844383</v>
      </c>
      <c r="O393" s="6">
        <v>94.785581687461928</v>
      </c>
      <c r="P393" s="67">
        <v>1.4974917000000101</v>
      </c>
      <c r="Q393" s="7">
        <v>0.27709339480418577</v>
      </c>
      <c r="R393" s="67">
        <v>2.5577302529574872</v>
      </c>
      <c r="S393" s="7">
        <v>0.49410462825509516</v>
      </c>
      <c r="T393" s="171">
        <f t="shared" si="12"/>
        <v>1.8084657611278947</v>
      </c>
      <c r="U393" s="171">
        <f t="shared" si="13"/>
        <v>0.42072209643696079</v>
      </c>
    </row>
    <row r="394" spans="1:21" s="42" customFormat="1">
      <c r="A394" s="5">
        <v>646</v>
      </c>
      <c r="B394" s="28">
        <v>127.51600000000001</v>
      </c>
      <c r="C394" s="5" t="s">
        <v>152</v>
      </c>
      <c r="D394" s="5">
        <v>54</v>
      </c>
      <c r="E394" s="5">
        <v>2</v>
      </c>
      <c r="F394" s="24">
        <v>50.695</v>
      </c>
      <c r="G394" s="24">
        <v>-145.184</v>
      </c>
      <c r="H394" s="5">
        <v>9</v>
      </c>
      <c r="I394" s="25">
        <v>43336.410416666666</v>
      </c>
      <c r="J394" s="26">
        <v>43336.410416666666</v>
      </c>
      <c r="K394" s="7">
        <v>2.2964221200000003</v>
      </c>
      <c r="L394" s="7">
        <v>2.2215526817909614</v>
      </c>
      <c r="M394" s="7">
        <v>9.9281295283960014E-2</v>
      </c>
      <c r="N394" s="6">
        <v>1746.6108595683631</v>
      </c>
      <c r="O394" s="6">
        <v>107.7240309371557</v>
      </c>
      <c r="P394" s="67">
        <v>1.3385884000000001</v>
      </c>
      <c r="Q394" s="7">
        <v>0.28764103163451687</v>
      </c>
      <c r="R394" s="67">
        <v>2.3379930359322403</v>
      </c>
      <c r="S394" s="7">
        <v>0.52268135411697214</v>
      </c>
      <c r="T394" s="171">
        <f t="shared" si="12"/>
        <v>1.6530986214632672</v>
      </c>
      <c r="U394" s="171">
        <f t="shared" si="13"/>
        <v>0.42719622992650974</v>
      </c>
    </row>
    <row r="395" spans="1:21" s="42" customFormat="1">
      <c r="A395" s="5">
        <v>647</v>
      </c>
      <c r="B395" s="28">
        <v>147.637</v>
      </c>
      <c r="C395" s="5" t="s">
        <v>152</v>
      </c>
      <c r="D395" s="5">
        <v>54</v>
      </c>
      <c r="E395" s="5">
        <v>2</v>
      </c>
      <c r="F395" s="24">
        <v>50.695</v>
      </c>
      <c r="G395" s="24">
        <v>-145.184</v>
      </c>
      <c r="H395" s="5">
        <v>8</v>
      </c>
      <c r="I395" s="25">
        <v>43336.410416666666</v>
      </c>
      <c r="J395" s="26">
        <v>43336.410416666666</v>
      </c>
      <c r="K395" s="7">
        <v>2.3178484800000003</v>
      </c>
      <c r="L395" s="7">
        <v>2.394543854537365</v>
      </c>
      <c r="M395" s="7">
        <v>9.0722145486420838E-2</v>
      </c>
      <c r="N395" s="6">
        <v>1670.5143808038706</v>
      </c>
      <c r="O395" s="6">
        <v>140.38139575509044</v>
      </c>
      <c r="P395" s="67">
        <v>1.1353663000000001</v>
      </c>
      <c r="Q395" s="7">
        <v>0.28730828997139074</v>
      </c>
      <c r="R395" s="67">
        <v>1.8966457316300815</v>
      </c>
      <c r="S395" s="7">
        <v>0.50572510727034414</v>
      </c>
      <c r="T395" s="171">
        <f t="shared" si="12"/>
        <v>1.3410401126843845</v>
      </c>
      <c r="U395" s="171">
        <f t="shared" si="13"/>
        <v>0.39759191265758637</v>
      </c>
    </row>
    <row r="396" spans="1:21" s="42" customFormat="1">
      <c r="A396" s="5">
        <v>648</v>
      </c>
      <c r="B396" s="28">
        <v>196.51400000000001</v>
      </c>
      <c r="C396" s="5" t="s">
        <v>152</v>
      </c>
      <c r="D396" s="5">
        <v>54</v>
      </c>
      <c r="E396" s="5">
        <v>2</v>
      </c>
      <c r="F396" s="24">
        <v>50.695</v>
      </c>
      <c r="G396" s="24">
        <v>-145.184</v>
      </c>
      <c r="H396" s="5">
        <v>7</v>
      </c>
      <c r="I396" s="25">
        <v>43336.410416666666</v>
      </c>
      <c r="J396" s="26">
        <v>43336.410416666666</v>
      </c>
      <c r="K396" s="7">
        <v>2.3352662400000002</v>
      </c>
      <c r="L396" s="7">
        <v>2.7155675004115651</v>
      </c>
      <c r="M396" s="7">
        <v>0.10524762620994153</v>
      </c>
      <c r="N396" s="6">
        <v>1263.3289929937198</v>
      </c>
      <c r="O396" s="6">
        <v>180.01518419377916</v>
      </c>
      <c r="P396" s="67">
        <v>1.0329748000000001</v>
      </c>
      <c r="Q396" s="7">
        <v>7.4788668804449537E-2</v>
      </c>
      <c r="R396" s="67">
        <v>1.3049870138718893</v>
      </c>
      <c r="S396" s="7">
        <v>0.20857806493572445</v>
      </c>
      <c r="T396" s="171">
        <f t="shared" si="12"/>
        <v>0.92270259171191471</v>
      </c>
      <c r="U396" s="171">
        <f t="shared" si="13"/>
        <v>0.18988131280562098</v>
      </c>
    </row>
    <row r="397" spans="1:21" s="42" customFormat="1">
      <c r="A397" s="5">
        <v>649</v>
      </c>
      <c r="B397" s="28">
        <v>222.09399999999999</v>
      </c>
      <c r="C397" s="5" t="s">
        <v>152</v>
      </c>
      <c r="D397" s="5">
        <v>54</v>
      </c>
      <c r="E397" s="5">
        <v>2</v>
      </c>
      <c r="F397" s="24">
        <v>50.695</v>
      </c>
      <c r="G397" s="24">
        <v>-145.184</v>
      </c>
      <c r="H397" s="5">
        <v>6</v>
      </c>
      <c r="I397" s="25">
        <v>43336.410416666666</v>
      </c>
      <c r="J397" s="26">
        <v>43336.410416666666</v>
      </c>
      <c r="K397" s="7">
        <v>2.3379543600000003</v>
      </c>
      <c r="L397" s="7">
        <v>2.3191917068487067</v>
      </c>
      <c r="M397" s="7">
        <v>0.10944620962993931</v>
      </c>
      <c r="N397" s="6">
        <v>1278.1492190774632</v>
      </c>
      <c r="O397" s="6">
        <v>199.69712548176915</v>
      </c>
      <c r="P397" s="67">
        <v>1.0058342</v>
      </c>
      <c r="Q397" s="7">
        <v>7.6040476101158813E-2</v>
      </c>
      <c r="R397" s="67">
        <v>1.2856061972514048</v>
      </c>
      <c r="S397" s="7">
        <v>0.2231406010902009</v>
      </c>
      <c r="T397" s="171">
        <f t="shared" si="12"/>
        <v>0.90899921418009055</v>
      </c>
      <c r="U397" s="171">
        <f t="shared" si="13"/>
        <v>0.19691670963484123</v>
      </c>
    </row>
    <row r="398" spans="1:21" s="42" customFormat="1">
      <c r="A398" s="5">
        <v>650</v>
      </c>
      <c r="B398" s="28">
        <v>251.44299999999899</v>
      </c>
      <c r="C398" s="5" t="s">
        <v>152</v>
      </c>
      <c r="D398" s="5">
        <v>54</v>
      </c>
      <c r="E398" s="5">
        <v>2</v>
      </c>
      <c r="F398" s="24">
        <v>50.695</v>
      </c>
      <c r="G398" s="24">
        <v>-145.184</v>
      </c>
      <c r="H398" s="5">
        <v>5</v>
      </c>
      <c r="I398" s="25">
        <v>43336.410416666666</v>
      </c>
      <c r="J398" s="26">
        <v>43336.410416666666</v>
      </c>
      <c r="K398" s="7">
        <v>2.3404617000000001</v>
      </c>
      <c r="L398" s="7">
        <v>2.0893393295430398</v>
      </c>
      <c r="M398" s="7">
        <v>8.7514312543001571E-2</v>
      </c>
      <c r="N398" s="6">
        <v>1475.9060617660136</v>
      </c>
      <c r="O398" s="6">
        <v>211.25451337306384</v>
      </c>
      <c r="P398" s="67">
        <v>0.98528990000000072</v>
      </c>
      <c r="Q398" s="7">
        <v>9.7071729487970992E-2</v>
      </c>
      <c r="R398" s="67">
        <v>1.4541953360068305</v>
      </c>
      <c r="S398" s="7">
        <v>0.25268771994929135</v>
      </c>
      <c r="T398" s="171">
        <f t="shared" si="12"/>
        <v>1.0282016534461889</v>
      </c>
      <c r="U398" s="171">
        <f t="shared" si="13"/>
        <v>0.2229012607897754</v>
      </c>
    </row>
    <row r="399" spans="1:21" s="42" customFormat="1">
      <c r="A399" s="5">
        <v>651</v>
      </c>
      <c r="B399" s="28">
        <v>276.85700000000003</v>
      </c>
      <c r="C399" s="5" t="s">
        <v>152</v>
      </c>
      <c r="D399" s="5">
        <v>54</v>
      </c>
      <c r="E399" s="5">
        <v>2</v>
      </c>
      <c r="F399" s="24">
        <v>50.695</v>
      </c>
      <c r="G399" s="24">
        <v>-145.184</v>
      </c>
      <c r="H399" s="5">
        <v>4</v>
      </c>
      <c r="I399" s="25">
        <v>43336.410416666666</v>
      </c>
      <c r="J399" s="26">
        <v>43336.410416666666</v>
      </c>
      <c r="K399" s="7">
        <v>2.3430790799999999</v>
      </c>
      <c r="L399" s="7">
        <v>2.1642505543993478</v>
      </c>
      <c r="M399" s="7">
        <v>8.7472034095019913E-2</v>
      </c>
      <c r="N399" s="6">
        <v>1605.9315566864366</v>
      </c>
      <c r="O399" s="6">
        <v>220.62071698151425</v>
      </c>
      <c r="P399" s="67">
        <v>0.96750009999999997</v>
      </c>
      <c r="Q399" s="7">
        <v>0.11452232603443173</v>
      </c>
      <c r="R399" s="67">
        <v>1.5537389416872829</v>
      </c>
      <c r="S399" s="7">
        <v>0.28175499571909907</v>
      </c>
      <c r="T399" s="171">
        <f t="shared" si="12"/>
        <v>1.0985848388521389</v>
      </c>
      <c r="U399" s="171">
        <f t="shared" si="13"/>
        <v>0.24488059815898772</v>
      </c>
    </row>
    <row r="400" spans="1:21" s="42" customFormat="1">
      <c r="A400" s="5">
        <v>652</v>
      </c>
      <c r="B400" s="28">
        <v>302.00599999999997</v>
      </c>
      <c r="C400" s="5" t="s">
        <v>152</v>
      </c>
      <c r="D400" s="5">
        <v>54</v>
      </c>
      <c r="E400" s="5">
        <v>2</v>
      </c>
      <c r="F400" s="24">
        <v>50.695</v>
      </c>
      <c r="G400" s="24">
        <v>-145.184</v>
      </c>
      <c r="H400" s="5">
        <v>3</v>
      </c>
      <c r="I400" s="25">
        <v>43336.410416666666</v>
      </c>
      <c r="J400" s="26">
        <v>43336.410416666666</v>
      </c>
      <c r="K400" s="7">
        <v>2.3470248000000002</v>
      </c>
      <c r="L400" s="7">
        <v>2.6909436609393143</v>
      </c>
      <c r="M400" s="7">
        <v>0.10470869462944205</v>
      </c>
      <c r="N400" s="6">
        <v>1325.2911936468768</v>
      </c>
      <c r="O400" s="6">
        <v>236.58829291864387</v>
      </c>
      <c r="P400" s="67">
        <v>0.94989579999999996</v>
      </c>
      <c r="Q400" s="7">
        <v>0.13109577098651878</v>
      </c>
      <c r="R400" s="67">
        <v>1.2588885386221549</v>
      </c>
      <c r="S400" s="7">
        <v>0.28406176166396535</v>
      </c>
      <c r="T400" s="171">
        <f t="shared" si="12"/>
        <v>0.89010825771873892</v>
      </c>
      <c r="U400" s="171">
        <f t="shared" si="13"/>
        <v>0.23163053235602854</v>
      </c>
    </row>
    <row r="401" spans="1:21" s="42" customFormat="1">
      <c r="A401" s="5">
        <v>653</v>
      </c>
      <c r="B401" s="28">
        <v>333.60300000000001</v>
      </c>
      <c r="C401" s="5" t="s">
        <v>152</v>
      </c>
      <c r="D401" s="5">
        <v>54</v>
      </c>
      <c r="E401" s="5">
        <v>2</v>
      </c>
      <c r="F401" s="24">
        <v>50.695</v>
      </c>
      <c r="G401" s="24">
        <v>-145.184</v>
      </c>
      <c r="H401" s="5">
        <v>2</v>
      </c>
      <c r="I401" s="25">
        <v>43336.410416666666</v>
      </c>
      <c r="J401" s="26">
        <v>43336.410416666666</v>
      </c>
      <c r="K401" s="7">
        <v>2.3512456200000003</v>
      </c>
      <c r="L401" s="7">
        <v>2.2731989400866448</v>
      </c>
      <c r="M401" s="7">
        <v>8.8645313581529203E-2</v>
      </c>
      <c r="N401" s="6">
        <v>1550.5323290901524</v>
      </c>
      <c r="O401" s="6">
        <v>348.45700063825598</v>
      </c>
      <c r="P401" s="67">
        <v>0.92855880000000002</v>
      </c>
      <c r="Q401" s="7">
        <v>0.14907636674812441</v>
      </c>
      <c r="R401" s="67">
        <v>1.4397604388611571</v>
      </c>
      <c r="S401" s="7">
        <v>0.39764577973607257</v>
      </c>
      <c r="T401" s="171">
        <f t="shared" si="12"/>
        <v>1.0179953319534638</v>
      </c>
      <c r="U401" s="171">
        <f t="shared" si="13"/>
        <v>0.31058527216366094</v>
      </c>
    </row>
    <row r="402" spans="1:21" s="42" customFormat="1">
      <c r="A402" s="5">
        <v>654</v>
      </c>
      <c r="B402" s="28">
        <v>502.7</v>
      </c>
      <c r="C402" s="5" t="s">
        <v>152</v>
      </c>
      <c r="D402" s="5">
        <v>54</v>
      </c>
      <c r="E402" s="5">
        <v>2</v>
      </c>
      <c r="F402" s="24">
        <v>50.695</v>
      </c>
      <c r="G402" s="24">
        <v>-145.184</v>
      </c>
      <c r="H402" s="5">
        <v>1</v>
      </c>
      <c r="I402" s="25">
        <v>43336.410416666666</v>
      </c>
      <c r="J402" s="26">
        <v>43336.410416666666</v>
      </c>
      <c r="K402" s="7">
        <v>2.3648748600000005</v>
      </c>
      <c r="L402" s="7">
        <v>2.2098173296984118</v>
      </c>
      <c r="M402" s="7">
        <v>8.832997585835986E-2</v>
      </c>
      <c r="N402" s="6">
        <v>1927.5725239263948</v>
      </c>
      <c r="O402" s="6">
        <v>409.3344047970312</v>
      </c>
      <c r="P402" s="68">
        <v>0.87680272990205399</v>
      </c>
      <c r="Q402" s="7">
        <v>0.15828163628098546</v>
      </c>
      <c r="R402" s="67">
        <v>1.690100851062855</v>
      </c>
      <c r="S402" s="7">
        <v>0.47106133138806139</v>
      </c>
      <c r="T402" s="171">
        <f t="shared" si="12"/>
        <v>1.1950007310059727</v>
      </c>
      <c r="U402" s="171">
        <f t="shared" si="13"/>
        <v>0.36732683562832685</v>
      </c>
    </row>
    <row r="403" spans="1:21" s="42" customFormat="1">
      <c r="A403" s="5">
        <v>655</v>
      </c>
      <c r="B403" s="28">
        <v>4.4889999999999999</v>
      </c>
      <c r="C403" s="5" t="s">
        <v>153</v>
      </c>
      <c r="D403" s="5">
        <v>55</v>
      </c>
      <c r="E403" s="5">
        <v>2</v>
      </c>
      <c r="F403" s="24">
        <v>50.640999999999998</v>
      </c>
      <c r="G403" s="24">
        <v>-144.95099999999999</v>
      </c>
      <c r="H403" s="5">
        <v>24</v>
      </c>
      <c r="I403" s="25">
        <v>43336.634722222225</v>
      </c>
      <c r="J403" s="26">
        <v>43336.634722222225</v>
      </c>
      <c r="K403" s="7">
        <v>2.22319836</v>
      </c>
      <c r="L403" s="7">
        <v>1.3183169664562375</v>
      </c>
      <c r="M403" s="7">
        <v>6.4885719315962126E-2</v>
      </c>
      <c r="N403" s="6">
        <v>266.24251041963851</v>
      </c>
      <c r="O403" s="6">
        <v>19.091271988045698</v>
      </c>
      <c r="P403" s="7">
        <v>5.3045246601367619</v>
      </c>
      <c r="Q403" s="7">
        <v>1.8998610814664527</v>
      </c>
      <c r="R403" s="67">
        <v>1.4122899620976912</v>
      </c>
      <c r="S403" s="7">
        <v>0.51586174316289279</v>
      </c>
      <c r="T403" s="171">
        <f t="shared" si="12"/>
        <v>0.9985720887826316</v>
      </c>
      <c r="U403" s="171">
        <f t="shared" si="13"/>
        <v>0.38703144917305249</v>
      </c>
    </row>
    <row r="404" spans="1:21" s="42" customFormat="1">
      <c r="A404" s="5">
        <v>656</v>
      </c>
      <c r="B404" s="28">
        <v>15.972</v>
      </c>
      <c r="C404" s="5" t="s">
        <v>153</v>
      </c>
      <c r="D404" s="5">
        <v>55</v>
      </c>
      <c r="E404" s="5">
        <v>2</v>
      </c>
      <c r="F404" s="24">
        <v>50.640999999999998</v>
      </c>
      <c r="G404" s="24">
        <v>-144.95099999999999</v>
      </c>
      <c r="H404" s="5">
        <v>20</v>
      </c>
      <c r="I404" s="25">
        <v>43336.634722222225</v>
      </c>
      <c r="J404" s="26">
        <v>43336.634722222225</v>
      </c>
      <c r="K404" s="7">
        <v>2.22321408</v>
      </c>
      <c r="L404" s="7">
        <v>1.5327975759370567</v>
      </c>
      <c r="M404" s="7">
        <v>6.9674265338469862E-2</v>
      </c>
      <c r="N404" s="6">
        <v>477.15696451270196</v>
      </c>
      <c r="O404" s="6">
        <v>28.592222912975473</v>
      </c>
      <c r="P404" s="7">
        <v>5.3045246601367619</v>
      </c>
      <c r="Q404" s="7">
        <v>1.8998610814664527</v>
      </c>
      <c r="R404" s="67">
        <v>2.5310908850136293</v>
      </c>
      <c r="S404" s="7">
        <v>0.91913187217412795</v>
      </c>
      <c r="T404" s="171">
        <f t="shared" si="12"/>
        <v>1.7896301607869873</v>
      </c>
      <c r="U404" s="171">
        <f t="shared" si="13"/>
        <v>0.69004318925687502</v>
      </c>
    </row>
    <row r="405" spans="1:21" s="42" customFormat="1">
      <c r="A405" s="5">
        <v>657</v>
      </c>
      <c r="B405" s="28">
        <v>25.733000000000001</v>
      </c>
      <c r="C405" s="5" t="s">
        <v>153</v>
      </c>
      <c r="D405" s="5">
        <v>55</v>
      </c>
      <c r="E405" s="5">
        <v>2</v>
      </c>
      <c r="F405" s="24">
        <v>50.640999999999998</v>
      </c>
      <c r="G405" s="24">
        <v>-144.95099999999999</v>
      </c>
      <c r="H405" s="5">
        <v>17</v>
      </c>
      <c r="I405" s="25">
        <v>43336.634722222225</v>
      </c>
      <c r="J405" s="26">
        <v>43336.634722222225</v>
      </c>
      <c r="K405" s="7">
        <v>2.23498836</v>
      </c>
      <c r="L405" s="7">
        <v>1.3262738995482637</v>
      </c>
      <c r="M405" s="7">
        <v>6.6289605260860279E-2</v>
      </c>
      <c r="N405" s="6">
        <v>919.42020485586397</v>
      </c>
      <c r="O405" s="6">
        <v>43.109025123787923</v>
      </c>
      <c r="P405" s="7">
        <v>5.3045246601367619</v>
      </c>
      <c r="Q405" s="7">
        <v>1.8998610814664527</v>
      </c>
      <c r="R405" s="67">
        <v>4.8770871496859236</v>
      </c>
      <c r="S405" s="7">
        <v>1.7616750677415589</v>
      </c>
      <c r="T405" s="171">
        <f t="shared" si="12"/>
        <v>3.4483875358025995</v>
      </c>
      <c r="U405" s="171">
        <f t="shared" si="13"/>
        <v>1.3233842790682493</v>
      </c>
    </row>
    <row r="406" spans="1:21" s="42" customFormat="1">
      <c r="A406" s="5">
        <v>658</v>
      </c>
      <c r="B406" s="28">
        <v>49.817</v>
      </c>
      <c r="C406" s="5" t="s">
        <v>153</v>
      </c>
      <c r="D406" s="5">
        <v>55</v>
      </c>
      <c r="E406" s="5">
        <v>2</v>
      </c>
      <c r="F406" s="24">
        <v>50.640999999999998</v>
      </c>
      <c r="G406" s="24">
        <v>-144.95099999999999</v>
      </c>
      <c r="H406" s="5">
        <v>14</v>
      </c>
      <c r="I406" s="25">
        <v>43336.634722222225</v>
      </c>
      <c r="J406" s="26">
        <v>43336.634722222225</v>
      </c>
      <c r="K406" s="7">
        <v>2.23998732</v>
      </c>
      <c r="L406" s="7">
        <v>1.2544242319046133</v>
      </c>
      <c r="M406" s="7">
        <v>6.3811231328806298E-2</v>
      </c>
      <c r="N406" s="6">
        <v>1625.0071721941881</v>
      </c>
      <c r="O406" s="6">
        <v>62.812478650038237</v>
      </c>
      <c r="P406" s="7">
        <v>5.3045246601367619</v>
      </c>
      <c r="Q406" s="7">
        <v>1.8998610814664527</v>
      </c>
      <c r="R406" s="67">
        <v>8.6198906178031756</v>
      </c>
      <c r="S406" s="7">
        <v>3.1052153355165051</v>
      </c>
      <c r="T406" s="171">
        <f t="shared" si="12"/>
        <v>6.0947697783765173</v>
      </c>
      <c r="U406" s="171">
        <f t="shared" si="13"/>
        <v>2.3333844396630794</v>
      </c>
    </row>
    <row r="407" spans="1:21" s="42" customFormat="1">
      <c r="A407" s="5">
        <v>659</v>
      </c>
      <c r="B407" s="28">
        <v>75.518999999999906</v>
      </c>
      <c r="C407" s="5" t="s">
        <v>153</v>
      </c>
      <c r="D407" s="5">
        <v>55</v>
      </c>
      <c r="E407" s="5">
        <v>2</v>
      </c>
      <c r="F407" s="24">
        <v>50.640999999999998</v>
      </c>
      <c r="G407" s="24">
        <v>-144.95099999999999</v>
      </c>
      <c r="H407" s="5">
        <v>11</v>
      </c>
      <c r="I407" s="25">
        <v>43336.634722222225</v>
      </c>
      <c r="J407" s="26">
        <v>43336.634722222225</v>
      </c>
      <c r="K407" s="7">
        <v>2.2464403799999997</v>
      </c>
      <c r="L407" s="7">
        <v>1.9142061796828858</v>
      </c>
      <c r="M407" s="7">
        <v>7.9506126497616528E-2</v>
      </c>
      <c r="N407" s="6">
        <v>1844.333918462301</v>
      </c>
      <c r="O407" s="6">
        <v>81.85501337323025</v>
      </c>
      <c r="P407" s="67">
        <v>3.423149700000006</v>
      </c>
      <c r="Q407" s="7">
        <v>0.88459743677648406</v>
      </c>
      <c r="R407" s="67">
        <v>6.3134310996840615</v>
      </c>
      <c r="S407" s="7">
        <v>1.6553799368676629</v>
      </c>
      <c r="T407" s="171">
        <f t="shared" si="12"/>
        <v>4.463967209136511</v>
      </c>
      <c r="U407" s="171">
        <f t="shared" si="13"/>
        <v>1.3056731630048823</v>
      </c>
    </row>
    <row r="408" spans="1:21" s="42" customFormat="1">
      <c r="A408" s="5">
        <v>660</v>
      </c>
      <c r="B408" s="28">
        <v>95.724999999999994</v>
      </c>
      <c r="C408" s="5" t="s">
        <v>153</v>
      </c>
      <c r="D408" s="5">
        <v>55</v>
      </c>
      <c r="E408" s="5">
        <v>2</v>
      </c>
      <c r="F408" s="24">
        <v>50.640999999999998</v>
      </c>
      <c r="G408" s="24">
        <v>-144.95099999999999</v>
      </c>
      <c r="H408" s="5">
        <v>10</v>
      </c>
      <c r="I408" s="25">
        <v>43336.634722222225</v>
      </c>
      <c r="J408" s="26">
        <v>43336.634722222225</v>
      </c>
      <c r="K408" s="7">
        <v>2.26621614</v>
      </c>
      <c r="L408" s="7">
        <v>2.0598174272966689</v>
      </c>
      <c r="M408" s="7">
        <v>8.4832608674099988E-2</v>
      </c>
      <c r="N408" s="6">
        <v>1948.8436094254866</v>
      </c>
      <c r="O408" s="6">
        <v>92.441138061092104</v>
      </c>
      <c r="P408" s="67">
        <v>1.9339674999999996</v>
      </c>
      <c r="Q408" s="7">
        <v>0.34701367414331247</v>
      </c>
      <c r="R408" s="67">
        <v>3.7690002032115841</v>
      </c>
      <c r="S408" s="7">
        <v>0.69950698393319621</v>
      </c>
      <c r="T408" s="171">
        <f t="shared" si="12"/>
        <v>2.6649048754499445</v>
      </c>
      <c r="U408" s="171">
        <f t="shared" si="13"/>
        <v>0.60328240004749456</v>
      </c>
    </row>
    <row r="409" spans="1:21" s="42" customFormat="1">
      <c r="A409" s="5">
        <v>661</v>
      </c>
      <c r="B409" s="28">
        <v>110.73099999999999</v>
      </c>
      <c r="C409" s="5" t="s">
        <v>153</v>
      </c>
      <c r="D409" s="5">
        <v>55</v>
      </c>
      <c r="E409" s="5">
        <v>2</v>
      </c>
      <c r="F409" s="24">
        <v>50.640999999999998</v>
      </c>
      <c r="G409" s="24">
        <v>-144.95099999999999</v>
      </c>
      <c r="H409" s="5">
        <v>7</v>
      </c>
      <c r="I409" s="25">
        <v>43336.634722222225</v>
      </c>
      <c r="J409" s="26">
        <v>43336.634722222225</v>
      </c>
      <c r="K409" s="7">
        <v>2.2929951599999998</v>
      </c>
      <c r="L409" s="7">
        <v>2.4939517157725462</v>
      </c>
      <c r="M409" s="7">
        <v>9.5757976399884398E-2</v>
      </c>
      <c r="N409" s="6">
        <v>1862.6508789272677</v>
      </c>
      <c r="O409" s="6">
        <v>101.15460593947481</v>
      </c>
      <c r="P409" s="67">
        <v>1.5081169000000001</v>
      </c>
      <c r="Q409" s="7">
        <v>0.2760497998484483</v>
      </c>
      <c r="R409" s="67">
        <v>2.8090952693100668</v>
      </c>
      <c r="S409" s="7">
        <v>0.5363375881504594</v>
      </c>
      <c r="T409" s="171">
        <f t="shared" si="12"/>
        <v>1.9861956155929461</v>
      </c>
      <c r="U409" s="171">
        <f t="shared" si="13"/>
        <v>0.45836184186542606</v>
      </c>
    </row>
    <row r="410" spans="1:21" s="42" customFormat="1">
      <c r="A410" s="5">
        <v>663</v>
      </c>
      <c r="B410" s="28">
        <v>125.55200000000001</v>
      </c>
      <c r="C410" s="5" t="s">
        <v>153</v>
      </c>
      <c r="D410" s="5">
        <v>55</v>
      </c>
      <c r="E410" s="5">
        <v>2</v>
      </c>
      <c r="F410" s="24">
        <v>50.640999999999998</v>
      </c>
      <c r="G410" s="24">
        <v>-144.95099999999999</v>
      </c>
      <c r="H410" s="5">
        <v>6</v>
      </c>
      <c r="I410" s="25">
        <v>43336.634722222225</v>
      </c>
      <c r="J410" s="26">
        <v>43336.634722222225</v>
      </c>
      <c r="K410" s="7">
        <v>2.3081177999999998</v>
      </c>
      <c r="L410" s="7">
        <v>2.4183542863339822</v>
      </c>
      <c r="M410" s="7">
        <v>9.4949160707788E-2</v>
      </c>
      <c r="N410" s="6">
        <v>1798.9606862680814</v>
      </c>
      <c r="O410" s="6">
        <v>115.07228921681762</v>
      </c>
      <c r="P410" s="67">
        <v>1.3584248000000001</v>
      </c>
      <c r="Q410" s="7">
        <v>0.28684245953157123</v>
      </c>
      <c r="R410" s="67">
        <v>2.4437528104515813</v>
      </c>
      <c r="S410" s="7">
        <v>0.53917521698867821</v>
      </c>
      <c r="T410" s="171">
        <f t="shared" si="12"/>
        <v>1.727877003937994</v>
      </c>
      <c r="U410" s="171">
        <f t="shared" si="13"/>
        <v>0.44215450460003919</v>
      </c>
    </row>
    <row r="411" spans="1:21" s="42" customFormat="1">
      <c r="A411" s="5">
        <v>662</v>
      </c>
      <c r="B411" s="28">
        <v>150.90899999999999</v>
      </c>
      <c r="C411" s="5" t="s">
        <v>153</v>
      </c>
      <c r="D411" s="5">
        <v>55</v>
      </c>
      <c r="E411" s="5">
        <v>2</v>
      </c>
      <c r="F411" s="24">
        <v>50.640999999999998</v>
      </c>
      <c r="G411" s="24">
        <v>-144.95099999999999</v>
      </c>
      <c r="H411" s="5">
        <v>5</v>
      </c>
      <c r="I411" s="25">
        <v>43336.634722222225</v>
      </c>
      <c r="J411" s="26">
        <v>43336.634722222225</v>
      </c>
      <c r="K411" s="7">
        <v>2.3302751399999999</v>
      </c>
      <c r="L411" s="7">
        <v>2.1367720819610287</v>
      </c>
      <c r="M411" s="7">
        <v>8.6846196408284032E-2</v>
      </c>
      <c r="N411" s="6">
        <v>1993.0646990142818</v>
      </c>
      <c r="O411" s="6">
        <v>144.32883885069396</v>
      </c>
      <c r="P411" s="67">
        <v>1.1150638000000002</v>
      </c>
      <c r="Q411" s="7">
        <v>0.28322660885309575</v>
      </c>
      <c r="R411" s="67">
        <v>2.222394296928722</v>
      </c>
      <c r="S411" s="7">
        <v>0.58698222590051852</v>
      </c>
      <c r="T411" s="171">
        <f t="shared" si="12"/>
        <v>1.5713635122680378</v>
      </c>
      <c r="U411" s="171">
        <f t="shared" si="13"/>
        <v>0.46231977557443554</v>
      </c>
    </row>
    <row r="412" spans="1:21" s="42" customFormat="1">
      <c r="A412" s="5">
        <v>664</v>
      </c>
      <c r="B412" s="28">
        <v>195.309</v>
      </c>
      <c r="C412" s="5" t="s">
        <v>153</v>
      </c>
      <c r="D412" s="5">
        <v>55</v>
      </c>
      <c r="E412" s="5">
        <v>2</v>
      </c>
      <c r="F412" s="24">
        <v>50.640999999999998</v>
      </c>
      <c r="G412" s="24">
        <v>-144.95099999999999</v>
      </c>
      <c r="H412" s="5">
        <v>3</v>
      </c>
      <c r="I412" s="25">
        <v>43336.634722222225</v>
      </c>
      <c r="J412" s="26">
        <v>43336.634722222225</v>
      </c>
      <c r="K412" s="7">
        <v>2.3363745000000002</v>
      </c>
      <c r="L412" s="7">
        <v>2.4350056194215974</v>
      </c>
      <c r="M412" s="7">
        <v>9.5274695575891077E-2</v>
      </c>
      <c r="N412" s="6">
        <v>1736.5481581757572</v>
      </c>
      <c r="O412" s="6">
        <v>286.75659100798282</v>
      </c>
      <c r="P412" s="67">
        <v>1.0351438000000002</v>
      </c>
      <c r="Q412" s="7">
        <v>7.9912647967015749E-2</v>
      </c>
      <c r="R412" s="67">
        <v>1.7975770593370546</v>
      </c>
      <c r="S412" s="7">
        <v>0.32767105278277103</v>
      </c>
      <c r="T412" s="171">
        <f t="shared" si="12"/>
        <v>1.2709927331238642</v>
      </c>
      <c r="U412" s="171">
        <f t="shared" si="13"/>
        <v>0.28428909659593665</v>
      </c>
    </row>
    <row r="413" spans="1:21" s="42" customFormat="1">
      <c r="A413" s="5">
        <v>665</v>
      </c>
      <c r="B413" s="28">
        <v>331.76900000000001</v>
      </c>
      <c r="C413" s="5" t="s">
        <v>153</v>
      </c>
      <c r="D413" s="5">
        <v>55</v>
      </c>
      <c r="E413" s="5">
        <v>2</v>
      </c>
      <c r="F413" s="24">
        <v>50.640999999999998</v>
      </c>
      <c r="G413" s="24">
        <v>-144.95099999999999</v>
      </c>
      <c r="H413" s="5">
        <v>2</v>
      </c>
      <c r="I413" s="25">
        <v>43336.634722222225</v>
      </c>
      <c r="J413" s="26">
        <v>43336.634722222225</v>
      </c>
      <c r="K413" s="7">
        <v>2.3511434400000004</v>
      </c>
      <c r="L413" s="7">
        <v>2.3210270417607464</v>
      </c>
      <c r="M413" s="7">
        <v>9.1229450847413004E-2</v>
      </c>
      <c r="N413" s="6">
        <v>1795.6454098353736</v>
      </c>
      <c r="O413" s="6">
        <v>338.04906806282793</v>
      </c>
      <c r="P413" s="67">
        <v>0.92929240000000002</v>
      </c>
      <c r="Q413" s="7">
        <v>0.14898792027292759</v>
      </c>
      <c r="R413" s="67">
        <v>1.668679632454898</v>
      </c>
      <c r="S413" s="7">
        <v>0.41262573771037597</v>
      </c>
      <c r="T413" s="171">
        <f t="shared" si="12"/>
        <v>1.1798546692313459</v>
      </c>
      <c r="U413" s="171">
        <f t="shared" si="13"/>
        <v>0.3294066323728394</v>
      </c>
    </row>
    <row r="414" spans="1:21" s="42" customFormat="1">
      <c r="A414" s="5">
        <v>666</v>
      </c>
      <c r="B414" s="28">
        <v>4.8090000000000002</v>
      </c>
      <c r="C414" s="5" t="s">
        <v>154</v>
      </c>
      <c r="D414" s="5">
        <v>56</v>
      </c>
      <c r="E414" s="5">
        <v>2</v>
      </c>
      <c r="F414" s="24">
        <v>50.587000000000003</v>
      </c>
      <c r="G414" s="24">
        <v>-144.72</v>
      </c>
      <c r="H414" s="5">
        <v>13</v>
      </c>
      <c r="I414" s="25">
        <v>43336.759722222225</v>
      </c>
      <c r="J414" s="26">
        <v>43336.759722222225</v>
      </c>
      <c r="K414" s="7">
        <v>2.2228918200000001</v>
      </c>
      <c r="L414" s="7">
        <v>1.4349283442183169</v>
      </c>
      <c r="M414" s="7">
        <v>6.5291538733370694E-2</v>
      </c>
      <c r="N414" s="6">
        <v>282.63833831573766</v>
      </c>
      <c r="O414" s="6">
        <v>23.419730204335561</v>
      </c>
      <c r="P414" s="7">
        <v>5.3045246601367619</v>
      </c>
      <c r="Q414" s="7">
        <v>1.8998610814664527</v>
      </c>
      <c r="R414" s="67">
        <v>1.4992620354959074</v>
      </c>
      <c r="S414" s="7">
        <v>0.55115682960706125</v>
      </c>
      <c r="T414" s="171">
        <f t="shared" si="12"/>
        <v>1.0600664612768018</v>
      </c>
      <c r="U414" s="171">
        <f t="shared" si="13"/>
        <v>0.41321686073175762</v>
      </c>
    </row>
    <row r="415" spans="1:21" s="42" customFormat="1">
      <c r="A415" s="5">
        <v>667</v>
      </c>
      <c r="B415" s="28">
        <v>20.135000000000002</v>
      </c>
      <c r="C415" s="5" t="s">
        <v>154</v>
      </c>
      <c r="D415" s="5">
        <v>56</v>
      </c>
      <c r="E415" s="5">
        <v>2</v>
      </c>
      <c r="F415" s="24">
        <v>50.587000000000003</v>
      </c>
      <c r="G415" s="24">
        <v>-144.72</v>
      </c>
      <c r="H415" s="5">
        <v>12</v>
      </c>
      <c r="I415" s="25">
        <v>43336.759722222225</v>
      </c>
      <c r="J415" s="26">
        <v>43336.759722222225</v>
      </c>
      <c r="K415" s="7">
        <v>2.2228996800000003</v>
      </c>
      <c r="L415" s="7">
        <v>1.3645686975402818</v>
      </c>
      <c r="M415" s="7">
        <v>6.6343112511753455E-2</v>
      </c>
      <c r="N415" s="6">
        <v>656.73624920294151</v>
      </c>
      <c r="O415" s="6">
        <v>37.209851884707675</v>
      </c>
      <c r="P415" s="7">
        <v>5.3045246601367619</v>
      </c>
      <c r="Q415" s="7">
        <v>1.8998610814664527</v>
      </c>
      <c r="R415" s="67">
        <v>3.483673629102725</v>
      </c>
      <c r="S415" s="7">
        <v>1.2632234357705474</v>
      </c>
      <c r="T415" s="171">
        <f t="shared" si="12"/>
        <v>2.463162201679268</v>
      </c>
      <c r="U415" s="171">
        <f t="shared" si="13"/>
        <v>0.94852682598631299</v>
      </c>
    </row>
    <row r="416" spans="1:21" s="42" customFormat="1">
      <c r="A416" s="5">
        <v>668</v>
      </c>
      <c r="B416" s="28">
        <v>35.118000000000002</v>
      </c>
      <c r="C416" s="5" t="s">
        <v>154</v>
      </c>
      <c r="D416" s="5">
        <v>56</v>
      </c>
      <c r="E416" s="5">
        <v>2</v>
      </c>
      <c r="F416" s="24">
        <v>50.587000000000003</v>
      </c>
      <c r="G416" s="24">
        <v>-144.72</v>
      </c>
      <c r="H416" s="5">
        <v>11</v>
      </c>
      <c r="I416" s="25">
        <v>43336.759722222225</v>
      </c>
      <c r="J416" s="26">
        <v>43336.759722222225</v>
      </c>
      <c r="K416" s="7">
        <v>2.2362066600000001</v>
      </c>
      <c r="L416" s="7">
        <v>1.4390564764562117</v>
      </c>
      <c r="M416" s="7">
        <v>6.9966956161776145E-2</v>
      </c>
      <c r="N416" s="6">
        <v>1000.0422243821234</v>
      </c>
      <c r="O416" s="6">
        <v>47.880440338070692</v>
      </c>
      <c r="P416" s="7">
        <v>5.3045246601367619</v>
      </c>
      <c r="Q416" s="7">
        <v>1.8998610814664527</v>
      </c>
      <c r="R416" s="67">
        <v>5.3047486404129947</v>
      </c>
      <c r="S416" s="7">
        <v>1.9168422739298898</v>
      </c>
      <c r="T416" s="171">
        <f t="shared" si="12"/>
        <v>3.750769369242045</v>
      </c>
      <c r="U416" s="171">
        <f t="shared" si="13"/>
        <v>1.4398880200842994</v>
      </c>
    </row>
    <row r="417" spans="1:21" s="42" customFormat="1">
      <c r="A417" s="5">
        <v>669</v>
      </c>
      <c r="B417" s="28">
        <v>50.083999999999897</v>
      </c>
      <c r="C417" s="5" t="s">
        <v>154</v>
      </c>
      <c r="D417" s="5">
        <v>56</v>
      </c>
      <c r="E417" s="5">
        <v>2</v>
      </c>
      <c r="F417" s="24">
        <v>50.587000000000003</v>
      </c>
      <c r="G417" s="24">
        <v>-144.72</v>
      </c>
      <c r="H417" s="5">
        <v>10</v>
      </c>
      <c r="I417" s="25">
        <v>43336.759722222225</v>
      </c>
      <c r="J417" s="26">
        <v>43336.759722222225</v>
      </c>
      <c r="K417" s="7">
        <v>2.2390362600000002</v>
      </c>
      <c r="L417" s="7">
        <v>1.4246069068729477</v>
      </c>
      <c r="M417" s="7">
        <v>6.2577058611360634E-2</v>
      </c>
      <c r="N417" s="6">
        <v>1349.1033059720303</v>
      </c>
      <c r="O417" s="6">
        <v>54.880447249754567</v>
      </c>
      <c r="P417" s="7">
        <v>5.3045246601367619</v>
      </c>
      <c r="Q417" s="7">
        <v>1.8998610814664527</v>
      </c>
      <c r="R417" s="67">
        <v>7.1563517556006655</v>
      </c>
      <c r="S417" s="7">
        <v>2.5795881102823892</v>
      </c>
      <c r="T417" s="171">
        <f t="shared" si="12"/>
        <v>5.0599617022266248</v>
      </c>
      <c r="U417" s="171">
        <f t="shared" si="13"/>
        <v>1.9382694629643884</v>
      </c>
    </row>
    <row r="418" spans="1:21" s="42" customFormat="1">
      <c r="A418" s="5">
        <v>670</v>
      </c>
      <c r="B418" s="28">
        <v>64.923000000000002</v>
      </c>
      <c r="C418" s="5" t="s">
        <v>154</v>
      </c>
      <c r="D418" s="5">
        <v>56</v>
      </c>
      <c r="E418" s="5">
        <v>2</v>
      </c>
      <c r="F418" s="24">
        <v>50.587000000000003</v>
      </c>
      <c r="G418" s="24">
        <v>-144.72</v>
      </c>
      <c r="H418" s="5">
        <v>9</v>
      </c>
      <c r="I418" s="25">
        <v>43336.759722222225</v>
      </c>
      <c r="J418" s="26">
        <v>43336.759722222225</v>
      </c>
      <c r="K418" s="7">
        <v>2.2426361400000006</v>
      </c>
      <c r="L418" s="7">
        <v>2.016811012323231</v>
      </c>
      <c r="M418" s="7">
        <v>8.1229251156967261E-2</v>
      </c>
      <c r="N418" s="6">
        <v>1446.7905500093402</v>
      </c>
      <c r="O418" s="6">
        <v>65.165544907287298</v>
      </c>
      <c r="P418" s="67">
        <v>4.2040748999999993</v>
      </c>
      <c r="Q418" s="7">
        <v>1.2605329722878755</v>
      </c>
      <c r="R418" s="67">
        <v>6.0824158368514611</v>
      </c>
      <c r="S418" s="7">
        <v>1.8441896348169309</v>
      </c>
      <c r="T418" s="171">
        <f t="shared" si="12"/>
        <v>4.3006258275941693</v>
      </c>
      <c r="U418" s="171">
        <f t="shared" si="13"/>
        <v>1.418118079980119</v>
      </c>
    </row>
    <row r="419" spans="1:21" s="42" customFormat="1">
      <c r="A419" s="5">
        <v>671</v>
      </c>
      <c r="B419" s="28">
        <v>80.165999999999997</v>
      </c>
      <c r="C419" s="5" t="s">
        <v>154</v>
      </c>
      <c r="D419" s="5">
        <v>56</v>
      </c>
      <c r="E419" s="5">
        <v>2</v>
      </c>
      <c r="F419" s="24">
        <v>50.587000000000003</v>
      </c>
      <c r="G419" s="24">
        <v>-144.72</v>
      </c>
      <c r="H419" s="5">
        <v>8</v>
      </c>
      <c r="I419" s="25">
        <v>43336.759722222225</v>
      </c>
      <c r="J419" s="26">
        <v>43336.759722222225</v>
      </c>
      <c r="K419" s="7">
        <v>2.2462596000000001</v>
      </c>
      <c r="L419" s="7">
        <v>2.2623728484098109</v>
      </c>
      <c r="M419" s="7">
        <v>8.8394076947826639E-2</v>
      </c>
      <c r="N419" s="6">
        <v>1439.6979524529468</v>
      </c>
      <c r="O419" s="6">
        <v>75.897469243220627</v>
      </c>
      <c r="P419" s="67">
        <v>3.0806657999999993</v>
      </c>
      <c r="Q419" s="7">
        <v>0.74013336566637467</v>
      </c>
      <c r="R419" s="67">
        <v>4.4352282444518183</v>
      </c>
      <c r="S419" s="7">
        <v>1.090919584947706</v>
      </c>
      <c r="T419" s="171">
        <f t="shared" si="12"/>
        <v>3.1359672950671444</v>
      </c>
      <c r="U419" s="171">
        <f t="shared" si="13"/>
        <v>0.87190275467908407</v>
      </c>
    </row>
    <row r="420" spans="1:21" s="42" customFormat="1">
      <c r="A420" s="5">
        <v>672</v>
      </c>
      <c r="B420" s="28">
        <v>95.532999999999902</v>
      </c>
      <c r="C420" s="5" t="s">
        <v>154</v>
      </c>
      <c r="D420" s="5">
        <v>56</v>
      </c>
      <c r="E420" s="5">
        <v>2</v>
      </c>
      <c r="F420" s="24">
        <v>50.587000000000003</v>
      </c>
      <c r="G420" s="24">
        <v>-144.72</v>
      </c>
      <c r="H420" s="5">
        <v>7</v>
      </c>
      <c r="I420" s="25">
        <v>43336.759722222225</v>
      </c>
      <c r="J420" s="26">
        <v>43336.759722222225</v>
      </c>
      <c r="K420" s="7">
        <v>2.25110922</v>
      </c>
      <c r="L420" s="7">
        <v>2.2123359629857413</v>
      </c>
      <c r="M420" s="7">
        <v>8.7195092692487097E-2</v>
      </c>
      <c r="N420" s="6">
        <v>1456.364519109824</v>
      </c>
      <c r="O420" s="6">
        <v>84.647605577837069</v>
      </c>
      <c r="P420" s="67">
        <v>1.948117900000006</v>
      </c>
      <c r="Q420" s="7">
        <v>0.35101481124320549</v>
      </c>
      <c r="R420" s="67">
        <v>2.8371697886027487</v>
      </c>
      <c r="S420" s="7">
        <v>0.53714453347879398</v>
      </c>
      <c r="T420" s="171">
        <f t="shared" si="12"/>
        <v>2.0060459523679963</v>
      </c>
      <c r="U420" s="171">
        <f t="shared" si="13"/>
        <v>0.46028274672088204</v>
      </c>
    </row>
    <row r="421" spans="1:21" s="42" customFormat="1">
      <c r="A421" s="5">
        <v>673</v>
      </c>
      <c r="B421" s="28">
        <v>110.057999999999</v>
      </c>
      <c r="C421" s="5" t="s">
        <v>154</v>
      </c>
      <c r="D421" s="5">
        <v>56</v>
      </c>
      <c r="E421" s="5">
        <v>2</v>
      </c>
      <c r="F421" s="24">
        <v>50.587000000000003</v>
      </c>
      <c r="G421" s="24">
        <v>-144.72</v>
      </c>
      <c r="H421" s="5">
        <v>6</v>
      </c>
      <c r="I421" s="25">
        <v>43336.759722222225</v>
      </c>
      <c r="J421" s="26">
        <v>43336.759722222225</v>
      </c>
      <c r="K421" s="7">
        <v>2.2792794600000006</v>
      </c>
      <c r="L421" s="7">
        <v>2.2707686451718665</v>
      </c>
      <c r="M421" s="7">
        <v>9.1455779181489005E-2</v>
      </c>
      <c r="N421" s="6">
        <v>1459.976115723239</v>
      </c>
      <c r="O421" s="6">
        <v>93.120367045815513</v>
      </c>
      <c r="P421" s="67">
        <v>1.5149142000000102</v>
      </c>
      <c r="Q421" s="7">
        <v>0.27535993386496821</v>
      </c>
      <c r="R421" s="67">
        <v>2.211738549369993</v>
      </c>
      <c r="S421" s="7">
        <v>0.42605138601160236</v>
      </c>
      <c r="T421" s="171">
        <f t="shared" si="12"/>
        <v>1.563829271862154</v>
      </c>
      <c r="U421" s="171">
        <f t="shared" si="13"/>
        <v>0.36309716888489352</v>
      </c>
    </row>
    <row r="422" spans="1:21" s="42" customFormat="1">
      <c r="A422" s="5">
        <v>674</v>
      </c>
      <c r="B422" s="28">
        <v>125.042999999999</v>
      </c>
      <c r="C422" s="5" t="s">
        <v>154</v>
      </c>
      <c r="D422" s="5">
        <v>56</v>
      </c>
      <c r="E422" s="5">
        <v>2</v>
      </c>
      <c r="F422" s="24">
        <v>50.587000000000003</v>
      </c>
      <c r="G422" s="24">
        <v>-144.72</v>
      </c>
      <c r="H422" s="5">
        <v>5</v>
      </c>
      <c r="I422" s="25">
        <v>43336.759722222225</v>
      </c>
      <c r="J422" s="26">
        <v>43336.759722222225</v>
      </c>
      <c r="K422" s="7">
        <v>2.30211276</v>
      </c>
      <c r="L422" s="7">
        <v>2.2590250379753973</v>
      </c>
      <c r="M422" s="7">
        <v>8.7550810787797237E-2</v>
      </c>
      <c r="N422" s="6">
        <v>1481.3591811127351</v>
      </c>
      <c r="O422" s="6">
        <v>102.75792273687813</v>
      </c>
      <c r="P422" s="67">
        <v>1.3635657000000103</v>
      </c>
      <c r="Q422" s="7">
        <v>0.28661138021041432</v>
      </c>
      <c r="R422" s="67">
        <v>2.0199305687454285</v>
      </c>
      <c r="S422" s="7">
        <v>0.44709757828363217</v>
      </c>
      <c r="T422" s="171">
        <f t="shared" si="12"/>
        <v>1.4282097454208826</v>
      </c>
      <c r="U422" s="171">
        <f t="shared" si="13"/>
        <v>0.36634460446091882</v>
      </c>
    </row>
    <row r="423" spans="1:21" s="42" customFormat="1">
      <c r="A423" s="5">
        <v>675</v>
      </c>
      <c r="B423" s="28">
        <v>144.56899999999999</v>
      </c>
      <c r="C423" s="5" t="s">
        <v>154</v>
      </c>
      <c r="D423" s="5">
        <v>56</v>
      </c>
      <c r="E423" s="5">
        <v>2</v>
      </c>
      <c r="F423" s="24">
        <v>50.587000000000003</v>
      </c>
      <c r="G423" s="24">
        <v>-144.72</v>
      </c>
      <c r="H423" s="5">
        <v>4</v>
      </c>
      <c r="I423" s="25">
        <v>43336.759722222225</v>
      </c>
      <c r="J423" s="26">
        <v>43336.759722222225</v>
      </c>
      <c r="K423" s="7">
        <v>2.32221864</v>
      </c>
      <c r="L423" s="7">
        <v>2.3548755964043622</v>
      </c>
      <c r="M423" s="7">
        <v>9.0915168957873993E-2</v>
      </c>
      <c r="N423" s="6">
        <v>1448.6125434809733</v>
      </c>
      <c r="O423" s="6">
        <v>137.36891245799609</v>
      </c>
      <c r="P423" s="67">
        <v>1.1663531000000003</v>
      </c>
      <c r="Q423" s="7">
        <v>0.28836143434906836</v>
      </c>
      <c r="R423" s="67">
        <v>1.6895937307879183</v>
      </c>
      <c r="S423" s="7">
        <v>0.44739690592261339</v>
      </c>
      <c r="T423" s="171">
        <f t="shared" si="12"/>
        <v>1.1946421671375052</v>
      </c>
      <c r="U423" s="171">
        <f t="shared" si="13"/>
        <v>0.35220546215705545</v>
      </c>
    </row>
    <row r="424" spans="1:21" s="42" customFormat="1">
      <c r="A424" s="5">
        <v>676</v>
      </c>
      <c r="B424" s="28">
        <v>194.77500000000001</v>
      </c>
      <c r="C424" s="5" t="s">
        <v>154</v>
      </c>
      <c r="D424" s="5">
        <v>56</v>
      </c>
      <c r="E424" s="5">
        <v>2</v>
      </c>
      <c r="F424" s="24">
        <v>50.587000000000003</v>
      </c>
      <c r="G424" s="24">
        <v>-144.72</v>
      </c>
      <c r="H424" s="5">
        <v>3</v>
      </c>
      <c r="I424" s="25">
        <v>43336.759722222225</v>
      </c>
      <c r="J424" s="26">
        <v>43336.759722222225</v>
      </c>
      <c r="K424" s="7">
        <v>2.33399292</v>
      </c>
      <c r="L424" s="7">
        <v>2.2581252605718221</v>
      </c>
      <c r="M424" s="7">
        <v>8.8952609751807285E-2</v>
      </c>
      <c r="N424" s="6">
        <v>1650.009069034609</v>
      </c>
      <c r="O424" s="6">
        <v>273.18184026021731</v>
      </c>
      <c r="P424" s="67">
        <v>1.0361050000000001</v>
      </c>
      <c r="Q424" s="7">
        <v>8.2190013424750075E-2</v>
      </c>
      <c r="R424" s="67">
        <v>1.7095826464721036</v>
      </c>
      <c r="S424" s="7">
        <v>0.31385624344846524</v>
      </c>
      <c r="T424" s="171">
        <f t="shared" si="12"/>
        <v>1.2087755064820753</v>
      </c>
      <c r="U424" s="171">
        <f t="shared" si="13"/>
        <v>0.27165642740183121</v>
      </c>
    </row>
    <row r="425" spans="1:21" s="42" customFormat="1">
      <c r="A425" s="5">
        <v>677</v>
      </c>
      <c r="B425" s="28">
        <v>329.17099999999999</v>
      </c>
      <c r="C425" s="5" t="s">
        <v>154</v>
      </c>
      <c r="D425" s="5">
        <v>56</v>
      </c>
      <c r="E425" s="5">
        <v>2</v>
      </c>
      <c r="F425" s="24">
        <v>50.587000000000003</v>
      </c>
      <c r="G425" s="24">
        <v>-144.72</v>
      </c>
      <c r="H425" s="5">
        <v>2</v>
      </c>
      <c r="I425" s="25">
        <v>43336.759722222225</v>
      </c>
      <c r="J425" s="26">
        <v>43336.759722222225</v>
      </c>
      <c r="K425" s="7">
        <v>2.3484867600000001</v>
      </c>
      <c r="L425" s="7">
        <v>2.3234436290859821</v>
      </c>
      <c r="M425" s="7">
        <v>9.3698706314993219E-2</v>
      </c>
      <c r="N425" s="6">
        <v>1759.3948663917761</v>
      </c>
      <c r="O425" s="6">
        <v>492.06418526020207</v>
      </c>
      <c r="P425" s="67">
        <v>0.93978100734870584</v>
      </c>
      <c r="Q425" s="7">
        <v>0.1503684181233878</v>
      </c>
      <c r="R425" s="67">
        <v>1.653445879861805</v>
      </c>
      <c r="S425" s="7">
        <v>0.53276121958251088</v>
      </c>
      <c r="T425" s="171">
        <f t="shared" si="12"/>
        <v>1.1690835099403118</v>
      </c>
      <c r="U425" s="171">
        <f t="shared" si="13"/>
        <v>0.40603345425828175</v>
      </c>
    </row>
    <row r="426" spans="1:21" s="42" customFormat="1">
      <c r="A426" s="5">
        <v>678</v>
      </c>
      <c r="B426" s="28">
        <v>498.52300000000002</v>
      </c>
      <c r="C426" s="5" t="s">
        <v>154</v>
      </c>
      <c r="D426" s="5">
        <v>56</v>
      </c>
      <c r="E426" s="5">
        <v>2</v>
      </c>
      <c r="F426" s="24">
        <v>50.587000000000003</v>
      </c>
      <c r="G426" s="24">
        <v>-144.72</v>
      </c>
      <c r="H426" s="5">
        <v>1</v>
      </c>
      <c r="I426" s="25">
        <v>43336.759722222225</v>
      </c>
      <c r="J426" s="26">
        <v>43336.759722222225</v>
      </c>
      <c r="K426" s="7">
        <v>2.3639709600000001</v>
      </c>
      <c r="L426" s="7">
        <v>2.3323985885226008</v>
      </c>
      <c r="M426" s="7">
        <v>9.1032405220376186E-2</v>
      </c>
      <c r="N426" s="6">
        <v>1836.2824867706315</v>
      </c>
      <c r="O426" s="6">
        <v>539.69752793226644</v>
      </c>
      <c r="P426" s="68">
        <v>0.87680272990205399</v>
      </c>
      <c r="Q426" s="7">
        <v>0.15828163628098546</v>
      </c>
      <c r="R426" s="67">
        <v>1.610057497271822</v>
      </c>
      <c r="S426" s="7">
        <v>0.55534076668601029</v>
      </c>
      <c r="T426" s="171">
        <f t="shared" si="12"/>
        <v>1.1384053708934081</v>
      </c>
      <c r="U426" s="171">
        <f t="shared" si="13"/>
        <v>0.41947165930746172</v>
      </c>
    </row>
    <row r="427" spans="1:21" s="42" customFormat="1">
      <c r="A427" s="5">
        <v>691</v>
      </c>
      <c r="B427" s="28">
        <v>7.9610000000000003</v>
      </c>
      <c r="C427" s="5" t="s">
        <v>155</v>
      </c>
      <c r="D427" s="5">
        <v>58</v>
      </c>
      <c r="E427" s="5">
        <v>2</v>
      </c>
      <c r="F427" s="24">
        <v>50.534999999999997</v>
      </c>
      <c r="G427" s="24">
        <v>-144.48699999999999</v>
      </c>
      <c r="H427" s="5">
        <v>13</v>
      </c>
      <c r="I427" s="25">
        <v>43336.990972222222</v>
      </c>
      <c r="J427" s="26">
        <v>43336.990972222222</v>
      </c>
      <c r="K427" s="7">
        <v>2.2229311200000001</v>
      </c>
      <c r="L427" s="7">
        <v>1.471889245679677</v>
      </c>
      <c r="M427" s="7">
        <v>6.93755184615064E-2</v>
      </c>
      <c r="N427" s="6">
        <v>327.15305937038346</v>
      </c>
      <c r="O427" s="6">
        <v>30.219903691292995</v>
      </c>
      <c r="P427" s="7">
        <v>5.3045246601367619</v>
      </c>
      <c r="Q427" s="7">
        <v>1.8998610814664527</v>
      </c>
      <c r="R427" s="67">
        <v>1.7353914710693852</v>
      </c>
      <c r="S427" s="7">
        <v>0.64188429184025642</v>
      </c>
      <c r="T427" s="171">
        <f t="shared" si="12"/>
        <v>1.2270238638157582</v>
      </c>
      <c r="U427" s="171">
        <f t="shared" si="13"/>
        <v>0.48091337491480907</v>
      </c>
    </row>
    <row r="428" spans="1:21" s="42" customFormat="1">
      <c r="A428" s="5">
        <v>690</v>
      </c>
      <c r="B428" s="28">
        <v>22.331</v>
      </c>
      <c r="C428" s="5" t="s">
        <v>155</v>
      </c>
      <c r="D428" s="5">
        <v>58</v>
      </c>
      <c r="E428" s="5">
        <v>2</v>
      </c>
      <c r="F428" s="24">
        <v>50.534999999999997</v>
      </c>
      <c r="G428" s="24">
        <v>-144.48699999999999</v>
      </c>
      <c r="H428" s="5">
        <v>12</v>
      </c>
      <c r="I428" s="25">
        <v>43336.990972222222</v>
      </c>
      <c r="J428" s="26">
        <v>43336.990972222222</v>
      </c>
      <c r="K428" s="7">
        <v>2.22292326</v>
      </c>
      <c r="L428" s="7">
        <v>1.4396945796048213</v>
      </c>
      <c r="M428" s="7">
        <v>6.8467133068865843E-2</v>
      </c>
      <c r="N428" s="6">
        <v>654.4621162026499</v>
      </c>
      <c r="O428" s="6">
        <v>41.616124486597421</v>
      </c>
      <c r="P428" s="7">
        <v>5.3045246601367619</v>
      </c>
      <c r="Q428" s="7">
        <v>1.8998610814664527</v>
      </c>
      <c r="R428" s="67">
        <v>3.4716104345222476</v>
      </c>
      <c r="S428" s="7">
        <v>1.2628316245642517</v>
      </c>
      <c r="T428" s="171">
        <f t="shared" si="12"/>
        <v>2.4546328134283404</v>
      </c>
      <c r="U428" s="171">
        <f t="shared" si="13"/>
        <v>0.94789426479860373</v>
      </c>
    </row>
    <row r="429" spans="1:21" s="42" customFormat="1">
      <c r="A429" s="5">
        <v>689</v>
      </c>
      <c r="B429" s="28">
        <v>37.021999999999998</v>
      </c>
      <c r="C429" s="5" t="s">
        <v>155</v>
      </c>
      <c r="D429" s="5">
        <v>58</v>
      </c>
      <c r="E429" s="5">
        <v>2</v>
      </c>
      <c r="F429" s="24">
        <v>50.534999999999997</v>
      </c>
      <c r="G429" s="24">
        <v>-144.48699999999999</v>
      </c>
      <c r="H429" s="5">
        <v>11</v>
      </c>
      <c r="I429" s="25">
        <v>43336.990972222222</v>
      </c>
      <c r="J429" s="26">
        <v>43336.990972222222</v>
      </c>
      <c r="K429" s="7">
        <v>2.23266966</v>
      </c>
      <c r="L429" s="7">
        <v>1.4617120258540841</v>
      </c>
      <c r="M429" s="7">
        <v>6.7501576134579452E-2</v>
      </c>
      <c r="N429" s="6">
        <v>980.39033073500798</v>
      </c>
      <c r="O429" s="6">
        <v>50.460391351009527</v>
      </c>
      <c r="P429" s="7">
        <v>5.3045246601367619</v>
      </c>
      <c r="Q429" s="7">
        <v>1.8998610814664527</v>
      </c>
      <c r="R429" s="67">
        <v>5.2005046859434865</v>
      </c>
      <c r="S429" s="7">
        <v>1.8817399846837295</v>
      </c>
      <c r="T429" s="171">
        <f t="shared" si="12"/>
        <v>3.677062760718846</v>
      </c>
      <c r="U429" s="171">
        <f t="shared" si="13"/>
        <v>1.4133003765909005</v>
      </c>
    </row>
    <row r="430" spans="1:21" s="42" customFormat="1">
      <c r="A430" s="5">
        <v>688</v>
      </c>
      <c r="B430" s="28">
        <v>51.73</v>
      </c>
      <c r="C430" s="5" t="s">
        <v>155</v>
      </c>
      <c r="D430" s="5">
        <v>58</v>
      </c>
      <c r="E430" s="5">
        <v>2</v>
      </c>
      <c r="F430" s="24">
        <v>50.534999999999997</v>
      </c>
      <c r="G430" s="24">
        <v>-144.48699999999999</v>
      </c>
      <c r="H430" s="5">
        <v>10</v>
      </c>
      <c r="I430" s="25">
        <v>43336.990972222222</v>
      </c>
      <c r="J430" s="26">
        <v>43336.990972222222</v>
      </c>
      <c r="K430" s="7">
        <v>2.2378100999999999</v>
      </c>
      <c r="L430" s="7">
        <v>1.6947592863460428</v>
      </c>
      <c r="M430" s="7">
        <v>7.6367201892718298E-2</v>
      </c>
      <c r="N430" s="6">
        <v>1215.2481320478507</v>
      </c>
      <c r="O430" s="6">
        <v>60.307920264530594</v>
      </c>
      <c r="P430" s="67">
        <v>5.176399</v>
      </c>
      <c r="Q430" s="7">
        <v>1.8190250692445702</v>
      </c>
      <c r="R430" s="67">
        <v>6.2906092154843627</v>
      </c>
      <c r="S430" s="7">
        <v>2.2325009899127943</v>
      </c>
      <c r="T430" s="171">
        <f t="shared" si="12"/>
        <v>4.4478307943868103</v>
      </c>
      <c r="U430" s="171">
        <f t="shared" si="13"/>
        <v>1.6805067466266468</v>
      </c>
    </row>
    <row r="431" spans="1:21" s="42" customFormat="1">
      <c r="A431" s="5">
        <v>687</v>
      </c>
      <c r="B431" s="28">
        <v>67.096999999999994</v>
      </c>
      <c r="C431" s="5" t="s">
        <v>155</v>
      </c>
      <c r="D431" s="5">
        <v>58</v>
      </c>
      <c r="E431" s="5">
        <v>2</v>
      </c>
      <c r="F431" s="24">
        <v>50.534999999999997</v>
      </c>
      <c r="G431" s="24">
        <v>-144.48699999999999</v>
      </c>
      <c r="H431" s="5">
        <v>9</v>
      </c>
      <c r="I431" s="25">
        <v>43336.990972222222</v>
      </c>
      <c r="J431" s="26">
        <v>43336.990972222222</v>
      </c>
      <c r="K431" s="7">
        <v>2.2391305800000003</v>
      </c>
      <c r="L431" s="7">
        <v>2.0526107478351512</v>
      </c>
      <c r="M431" s="7">
        <v>8.5097225498991763E-2</v>
      </c>
      <c r="N431" s="6">
        <v>1296.1151109217462</v>
      </c>
      <c r="O431" s="6">
        <v>70.698297109813126</v>
      </c>
      <c r="P431" s="67">
        <v>4.0438510999999995</v>
      </c>
      <c r="Q431" s="7">
        <v>1.1781267921855596</v>
      </c>
      <c r="R431" s="67">
        <v>5.241296517027525</v>
      </c>
      <c r="S431" s="7">
        <v>1.5535209013911344</v>
      </c>
      <c r="T431" s="171">
        <f t="shared" si="12"/>
        <v>3.7059049850948904</v>
      </c>
      <c r="U431" s="171">
        <f t="shared" si="13"/>
        <v>1.1988800204197914</v>
      </c>
    </row>
    <row r="432" spans="1:21" s="42" customFormat="1">
      <c r="A432" s="5">
        <v>686</v>
      </c>
      <c r="B432" s="28">
        <v>81.88</v>
      </c>
      <c r="C432" s="5" t="s">
        <v>155</v>
      </c>
      <c r="D432" s="5">
        <v>58</v>
      </c>
      <c r="E432" s="5">
        <v>2</v>
      </c>
      <c r="F432" s="24">
        <v>50.534999999999997</v>
      </c>
      <c r="G432" s="24">
        <v>-144.48699999999999</v>
      </c>
      <c r="H432" s="5">
        <v>8</v>
      </c>
      <c r="I432" s="25">
        <v>43336.990972222222</v>
      </c>
      <c r="J432" s="26">
        <v>43336.990972222222</v>
      </c>
      <c r="K432" s="7">
        <v>2.2433278199999998</v>
      </c>
      <c r="L432" s="7">
        <v>2.3389121514451929</v>
      </c>
      <c r="M432" s="7">
        <v>9.0422373308400736E-2</v>
      </c>
      <c r="N432" s="6">
        <v>1254.1859064797684</v>
      </c>
      <c r="O432" s="6">
        <v>81.065094497788849</v>
      </c>
      <c r="P432" s="67">
        <v>2.9543439999999999</v>
      </c>
      <c r="Q432" s="7">
        <v>0.68999023189151998</v>
      </c>
      <c r="R432" s="67">
        <v>3.7052966076930649</v>
      </c>
      <c r="S432" s="7">
        <v>0.89790485231168993</v>
      </c>
      <c r="T432" s="171">
        <f t="shared" si="12"/>
        <v>2.6198626857105181</v>
      </c>
      <c r="U432" s="171">
        <f t="shared" si="13"/>
        <v>0.7199930899186936</v>
      </c>
    </row>
    <row r="433" spans="1:21" s="42" customFormat="1">
      <c r="A433" s="5">
        <v>685</v>
      </c>
      <c r="B433" s="28">
        <v>97.602000000000004</v>
      </c>
      <c r="C433" s="5" t="s">
        <v>155</v>
      </c>
      <c r="D433" s="5">
        <v>58</v>
      </c>
      <c r="E433" s="5">
        <v>2</v>
      </c>
      <c r="F433" s="24">
        <v>50.534999999999997</v>
      </c>
      <c r="G433" s="24">
        <v>-144.48699999999999</v>
      </c>
      <c r="H433" s="5">
        <v>7</v>
      </c>
      <c r="I433" s="25">
        <v>43336.990972222222</v>
      </c>
      <c r="J433" s="26">
        <v>43336.990972222222</v>
      </c>
      <c r="K433" s="7">
        <v>2.24824818</v>
      </c>
      <c r="L433" s="7">
        <v>2.1362779442929014</v>
      </c>
      <c r="M433" s="7">
        <v>8.8586907979896268E-2</v>
      </c>
      <c r="N433" s="6">
        <v>1326.6498966657794</v>
      </c>
      <c r="O433" s="6">
        <v>99.28941655493341</v>
      </c>
      <c r="P433" s="67">
        <v>1.7956325999999985</v>
      </c>
      <c r="Q433" s="7">
        <v>0.3090172052164929</v>
      </c>
      <c r="R433" s="67">
        <v>2.3821758032397029</v>
      </c>
      <c r="S433" s="7">
        <v>0.44704768806539746</v>
      </c>
      <c r="T433" s="171">
        <f t="shared" si="12"/>
        <v>1.6843384372393977</v>
      </c>
      <c r="U433" s="171">
        <f t="shared" si="13"/>
        <v>0.38416321128794256</v>
      </c>
    </row>
    <row r="434" spans="1:21" s="42" customFormat="1">
      <c r="A434" s="5">
        <v>683</v>
      </c>
      <c r="B434" s="28">
        <v>126.88500000000001</v>
      </c>
      <c r="C434" s="5" t="s">
        <v>155</v>
      </c>
      <c r="D434" s="5">
        <v>58</v>
      </c>
      <c r="E434" s="5">
        <v>2</v>
      </c>
      <c r="F434" s="24">
        <v>50.534999999999997</v>
      </c>
      <c r="G434" s="24">
        <v>-144.48699999999999</v>
      </c>
      <c r="H434" s="5">
        <v>5</v>
      </c>
      <c r="I434" s="25">
        <v>43336.990972222222</v>
      </c>
      <c r="J434" s="26">
        <v>43336.990972222222</v>
      </c>
      <c r="K434" s="7">
        <v>2.2839561600000002</v>
      </c>
      <c r="L434" s="7">
        <v>2.2577561321777515</v>
      </c>
      <c r="M434" s="7">
        <v>9.0742272869973828E-2</v>
      </c>
      <c r="N434" s="6">
        <v>1345.9386940808768</v>
      </c>
      <c r="O434" s="6">
        <v>119.67196916303584</v>
      </c>
      <c r="P434" s="67">
        <v>1.3449615000000001</v>
      </c>
      <c r="Q434" s="7">
        <v>0.28740057958146759</v>
      </c>
      <c r="R434" s="67">
        <v>1.8102357248990573</v>
      </c>
      <c r="S434" s="7">
        <v>0.41897341062278431</v>
      </c>
      <c r="T434" s="171">
        <f t="shared" si="12"/>
        <v>1.2799431543905242</v>
      </c>
      <c r="U434" s="171">
        <f t="shared" si="13"/>
        <v>0.33953572051955605</v>
      </c>
    </row>
    <row r="435" spans="1:21" s="42" customFormat="1">
      <c r="A435" s="5">
        <v>682</v>
      </c>
      <c r="B435" s="28">
        <v>148.79900000000001</v>
      </c>
      <c r="C435" s="5" t="s">
        <v>155</v>
      </c>
      <c r="D435" s="5">
        <v>58</v>
      </c>
      <c r="E435" s="5">
        <v>2</v>
      </c>
      <c r="F435" s="24">
        <v>50.534999999999997</v>
      </c>
      <c r="G435" s="24">
        <v>-144.48699999999999</v>
      </c>
      <c r="H435" s="5">
        <v>4</v>
      </c>
      <c r="I435" s="25">
        <v>43336.990972222222</v>
      </c>
      <c r="J435" s="26">
        <v>43336.990972222222</v>
      </c>
      <c r="K435" s="7">
        <v>2.3052096</v>
      </c>
      <c r="L435" s="7">
        <v>2.4211813665514352</v>
      </c>
      <c r="M435" s="7">
        <v>9.3940298830691021E-2</v>
      </c>
      <c r="N435" s="6">
        <v>1226.2463955368689</v>
      </c>
      <c r="O435" s="6">
        <v>154.01774054768586</v>
      </c>
      <c r="P435" s="67">
        <v>1.1236301</v>
      </c>
      <c r="Q435" s="7">
        <v>0.28681523834766032</v>
      </c>
      <c r="R435" s="67">
        <v>1.3778473600417314</v>
      </c>
      <c r="S435" s="7">
        <v>0.39197783652492457</v>
      </c>
      <c r="T435" s="171">
        <f t="shared" si="12"/>
        <v>0.9742191428571052</v>
      </c>
      <c r="U435" s="171">
        <f t="shared" si="13"/>
        <v>0.30456584975953216</v>
      </c>
    </row>
    <row r="436" spans="1:21" s="42" customFormat="1">
      <c r="A436" s="5">
        <v>681</v>
      </c>
      <c r="B436" s="28">
        <v>198.65700000000001</v>
      </c>
      <c r="C436" s="5" t="s">
        <v>155</v>
      </c>
      <c r="D436" s="5">
        <v>58</v>
      </c>
      <c r="E436" s="5">
        <v>2</v>
      </c>
      <c r="F436" s="24">
        <v>50.534999999999997</v>
      </c>
      <c r="G436" s="24">
        <v>-144.48699999999999</v>
      </c>
      <c r="H436" s="5">
        <v>3</v>
      </c>
      <c r="I436" s="25">
        <v>43336.990972222222</v>
      </c>
      <c r="J436" s="26">
        <v>43336.990972222222</v>
      </c>
      <c r="K436" s="7">
        <v>2.3332147800000005</v>
      </c>
      <c r="L436" s="7">
        <v>2.043001587622256</v>
      </c>
      <c r="M436" s="7">
        <v>8.0902975435344318E-2</v>
      </c>
      <c r="N436" s="6">
        <v>1996.2306114290122</v>
      </c>
      <c r="O436" s="6">
        <v>264.18879722825619</v>
      </c>
      <c r="P436" s="67">
        <v>1.0291174000000001</v>
      </c>
      <c r="Q436" s="7">
        <v>6.5727491036772445E-2</v>
      </c>
      <c r="R436" s="67">
        <v>2.0543556566342356</v>
      </c>
      <c r="S436" s="7">
        <v>0.30188536223269985</v>
      </c>
      <c r="T436" s="171">
        <f t="shared" si="12"/>
        <v>1.4525503077998667</v>
      </c>
      <c r="U436" s="171">
        <f t="shared" si="13"/>
        <v>0.28462817829117076</v>
      </c>
    </row>
    <row r="437" spans="1:21" s="42" customFormat="1">
      <c r="A437" s="5">
        <v>680</v>
      </c>
      <c r="B437" s="28">
        <v>333.303</v>
      </c>
      <c r="C437" s="5" t="s">
        <v>155</v>
      </c>
      <c r="D437" s="5">
        <v>58</v>
      </c>
      <c r="E437" s="5">
        <v>2</v>
      </c>
      <c r="F437" s="24">
        <v>50.534999999999997</v>
      </c>
      <c r="G437" s="24">
        <v>-144.48699999999999</v>
      </c>
      <c r="H437" s="5">
        <v>2</v>
      </c>
      <c r="I437" s="25">
        <v>43336.990972222222</v>
      </c>
      <c r="J437" s="26">
        <v>43336.990972222222</v>
      </c>
      <c r="K437" s="7">
        <v>2.3505932400000003</v>
      </c>
      <c r="L437" s="7">
        <v>2.4454725574164873</v>
      </c>
      <c r="M437" s="7">
        <v>9.3850204633273537E-2</v>
      </c>
      <c r="N437" s="6">
        <v>1581.7025415587698</v>
      </c>
      <c r="O437" s="6">
        <v>487.77234142777041</v>
      </c>
      <c r="P437" s="67">
        <v>0.92867880000000003</v>
      </c>
      <c r="Q437" s="7">
        <v>0.14906192122324438</v>
      </c>
      <c r="R437" s="67">
        <v>1.4688936182517485</v>
      </c>
      <c r="S437" s="7">
        <v>0.51066878632690116</v>
      </c>
      <c r="T437" s="171">
        <f t="shared" si="12"/>
        <v>1.0385942036991298</v>
      </c>
      <c r="U437" s="171">
        <f t="shared" si="13"/>
        <v>0.38535475872714298</v>
      </c>
    </row>
    <row r="438" spans="1:21" s="42" customFormat="1">
      <c r="A438" s="5">
        <v>679</v>
      </c>
      <c r="B438" s="28">
        <v>502.481999999999</v>
      </c>
      <c r="C438" s="5" t="s">
        <v>155</v>
      </c>
      <c r="D438" s="5">
        <v>58</v>
      </c>
      <c r="E438" s="5">
        <v>2</v>
      </c>
      <c r="F438" s="24">
        <v>50.534999999999997</v>
      </c>
      <c r="G438" s="24">
        <v>-144.48699999999999</v>
      </c>
      <c r="H438" s="5">
        <v>1</v>
      </c>
      <c r="I438" s="25">
        <v>43336.990972222222</v>
      </c>
      <c r="J438" s="26">
        <v>43336.990972222222</v>
      </c>
      <c r="K438" s="7">
        <v>2.36505564</v>
      </c>
      <c r="L438" s="7">
        <v>2.6740266634230991</v>
      </c>
      <c r="M438" s="7">
        <v>0.10065536414500904</v>
      </c>
      <c r="N438" s="6">
        <v>830.03968342177916</v>
      </c>
      <c r="O438" s="6">
        <v>545.78843822783074</v>
      </c>
      <c r="P438" s="68">
        <v>0.87680272990205399</v>
      </c>
      <c r="Q438" s="7">
        <v>0.15828163628098546</v>
      </c>
      <c r="R438" s="67">
        <v>0.72778106035125267</v>
      </c>
      <c r="S438" s="7">
        <v>0.49625564138378953</v>
      </c>
      <c r="T438" s="171">
        <f t="shared" si="12"/>
        <v>0.51458402531725889</v>
      </c>
      <c r="U438" s="171">
        <f t="shared" si="13"/>
        <v>0.35716582012908815</v>
      </c>
    </row>
    <row r="439" spans="1:21" s="42" customFormat="1">
      <c r="A439" s="5">
        <v>692</v>
      </c>
      <c r="B439" s="28">
        <v>5.65</v>
      </c>
      <c r="C439" s="5" t="s">
        <v>156</v>
      </c>
      <c r="D439" s="5">
        <v>59</v>
      </c>
      <c r="E439" s="5">
        <v>2</v>
      </c>
      <c r="F439" s="24">
        <v>50.457000000000001</v>
      </c>
      <c r="G439" s="24">
        <v>-144.74100000000001</v>
      </c>
      <c r="H439" s="5">
        <v>13</v>
      </c>
      <c r="I439" s="25">
        <v>43337.115277777775</v>
      </c>
      <c r="J439" s="26">
        <v>43337.115277777775</v>
      </c>
      <c r="K439" s="7">
        <v>2.2232376600000006</v>
      </c>
      <c r="L439" s="7">
        <v>1.4293563336538488</v>
      </c>
      <c r="M439" s="7">
        <v>6.5249472376651851E-2</v>
      </c>
      <c r="N439" s="6">
        <v>300.99461122536405</v>
      </c>
      <c r="O439" s="6">
        <v>24.738885925258607</v>
      </c>
      <c r="P439" s="7">
        <v>5.3045246601367619</v>
      </c>
      <c r="Q439" s="7">
        <v>1.8998610814664527</v>
      </c>
      <c r="R439" s="67">
        <v>1.5966333378132211</v>
      </c>
      <c r="S439" s="7">
        <v>0.58671191495428587</v>
      </c>
      <c r="T439" s="171">
        <f t="shared" si="12"/>
        <v>1.1289137004075431</v>
      </c>
      <c r="U439" s="171">
        <f t="shared" si="13"/>
        <v>0.43989338615583229</v>
      </c>
    </row>
    <row r="440" spans="1:21" s="42" customFormat="1">
      <c r="A440" s="5">
        <v>693</v>
      </c>
      <c r="B440" s="28">
        <v>20.715999999999902</v>
      </c>
      <c r="C440" s="5" t="s">
        <v>156</v>
      </c>
      <c r="D440" s="5">
        <v>59</v>
      </c>
      <c r="E440" s="5">
        <v>2</v>
      </c>
      <c r="F440" s="24">
        <v>50.457000000000001</v>
      </c>
      <c r="G440" s="24">
        <v>-144.74100000000001</v>
      </c>
      <c r="H440" s="5">
        <v>12</v>
      </c>
      <c r="I440" s="25">
        <v>43337.115277777775</v>
      </c>
      <c r="J440" s="26">
        <v>43337.115277777775</v>
      </c>
      <c r="K440" s="7">
        <v>2.2232769600000002</v>
      </c>
      <c r="L440" s="7">
        <v>1.317424730107303</v>
      </c>
      <c r="M440" s="7">
        <v>6.2355038771584159E-2</v>
      </c>
      <c r="N440" s="6">
        <v>688.36641057381905</v>
      </c>
      <c r="O440" s="6">
        <v>36.373571382205725</v>
      </c>
      <c r="P440" s="7">
        <v>5.3045246601367619</v>
      </c>
      <c r="Q440" s="7">
        <v>1.8998610814664527</v>
      </c>
      <c r="R440" s="67">
        <v>3.6514566000986504</v>
      </c>
      <c r="S440" s="7">
        <v>1.3219568334818919</v>
      </c>
      <c r="T440" s="171">
        <f t="shared" si="12"/>
        <v>2.5817946329122297</v>
      </c>
      <c r="U440" s="171">
        <f t="shared" si="13"/>
        <v>0.99280782445989546</v>
      </c>
    </row>
    <row r="441" spans="1:21" s="42" customFormat="1">
      <c r="A441" s="5">
        <v>694</v>
      </c>
      <c r="B441" s="28">
        <v>35.387999999999998</v>
      </c>
      <c r="C441" s="5" t="s">
        <v>156</v>
      </c>
      <c r="D441" s="5">
        <v>59</v>
      </c>
      <c r="E441" s="5">
        <v>2</v>
      </c>
      <c r="F441" s="24">
        <v>50.457000000000001</v>
      </c>
      <c r="G441" s="24">
        <v>-144.74100000000001</v>
      </c>
      <c r="H441" s="5">
        <v>11</v>
      </c>
      <c r="I441" s="25">
        <v>43337.115277777775</v>
      </c>
      <c r="J441" s="26">
        <v>43337.115277777775</v>
      </c>
      <c r="K441" s="7">
        <v>2.2325203200000003</v>
      </c>
      <c r="L441" s="7">
        <v>1.3994479664892852</v>
      </c>
      <c r="M441" s="7">
        <v>6.4878935030128607E-2</v>
      </c>
      <c r="N441" s="6">
        <v>1043.1177262467133</v>
      </c>
      <c r="O441" s="6">
        <v>45.676333742455668</v>
      </c>
      <c r="P441" s="7">
        <v>5.3045246601367619</v>
      </c>
      <c r="Q441" s="7">
        <v>1.8998610814664527</v>
      </c>
      <c r="R441" s="67">
        <v>5.5332437023014789</v>
      </c>
      <c r="S441" s="7">
        <v>1.9965350343696606</v>
      </c>
      <c r="T441" s="171">
        <f t="shared" si="12"/>
        <v>3.912328820452474</v>
      </c>
      <c r="U441" s="171">
        <f t="shared" si="13"/>
        <v>1.4999975866908659</v>
      </c>
    </row>
    <row r="442" spans="1:21" s="42" customFormat="1">
      <c r="A442" s="5">
        <v>695</v>
      </c>
      <c r="B442" s="28">
        <v>50.328999999999901</v>
      </c>
      <c r="C442" s="5" t="s">
        <v>156</v>
      </c>
      <c r="D442" s="5">
        <v>59</v>
      </c>
      <c r="E442" s="5">
        <v>2</v>
      </c>
      <c r="F442" s="24">
        <v>50.457000000000001</v>
      </c>
      <c r="G442" s="24">
        <v>-144.74100000000001</v>
      </c>
      <c r="H442" s="5">
        <v>10</v>
      </c>
      <c r="I442" s="25">
        <v>43337.115277777775</v>
      </c>
      <c r="J442" s="26">
        <v>43337.115277777775</v>
      </c>
      <c r="K442" s="7">
        <v>2.2360337400000003</v>
      </c>
      <c r="L442" s="7">
        <v>1.6029853050298213</v>
      </c>
      <c r="M442" s="7">
        <v>7.2098324362797395E-2</v>
      </c>
      <c r="N442" s="6">
        <v>1312.3004294000539</v>
      </c>
      <c r="O442" s="6">
        <v>55.010943508614574</v>
      </c>
      <c r="P442" s="7">
        <v>5.3045246601367619</v>
      </c>
      <c r="Q442" s="7">
        <v>1.8998610814664527</v>
      </c>
      <c r="R442" s="67">
        <v>6.9611299892606473</v>
      </c>
      <c r="S442" s="7">
        <v>2.5102072089835819</v>
      </c>
      <c r="T442" s="171">
        <f t="shared" si="12"/>
        <v>4.9219284284501583</v>
      </c>
      <c r="U442" s="171">
        <f t="shared" si="13"/>
        <v>1.886052462441453</v>
      </c>
    </row>
    <row r="443" spans="1:21" s="42" customFormat="1">
      <c r="A443" s="5">
        <v>696</v>
      </c>
      <c r="B443" s="28">
        <v>64.957999999999998</v>
      </c>
      <c r="C443" s="5" t="s">
        <v>156</v>
      </c>
      <c r="D443" s="5">
        <v>59</v>
      </c>
      <c r="E443" s="5">
        <v>2</v>
      </c>
      <c r="F443" s="24">
        <v>50.457000000000001</v>
      </c>
      <c r="G443" s="24">
        <v>-144.74100000000001</v>
      </c>
      <c r="H443" s="5">
        <v>9</v>
      </c>
      <c r="I443" s="25">
        <v>43337.115277777775</v>
      </c>
      <c r="J443" s="26">
        <v>43337.115277777775</v>
      </c>
      <c r="K443" s="7">
        <v>2.2395943200000001</v>
      </c>
      <c r="L443" s="7">
        <v>2.0288546660396225</v>
      </c>
      <c r="M443" s="7">
        <v>9.0432436382217429E-2</v>
      </c>
      <c r="N443" s="6">
        <v>1402.4801505523651</v>
      </c>
      <c r="O443" s="6">
        <v>67.258662186937087</v>
      </c>
      <c r="P443" s="67">
        <v>4.2014953999999989</v>
      </c>
      <c r="Q443" s="7">
        <v>1.2591847177507809</v>
      </c>
      <c r="R443" s="67">
        <v>5.8925139011370673</v>
      </c>
      <c r="S443" s="7">
        <v>1.7884480155537459</v>
      </c>
      <c r="T443" s="171">
        <f t="shared" si="12"/>
        <v>4.1663539870377679</v>
      </c>
      <c r="U443" s="171">
        <f t="shared" si="13"/>
        <v>1.3750365445003765</v>
      </c>
    </row>
    <row r="444" spans="1:21" s="42" customFormat="1">
      <c r="A444" s="5">
        <v>697</v>
      </c>
      <c r="B444" s="28">
        <v>80.087000000000003</v>
      </c>
      <c r="C444" s="5" t="s">
        <v>156</v>
      </c>
      <c r="D444" s="5">
        <v>59</v>
      </c>
      <c r="E444" s="5">
        <v>2</v>
      </c>
      <c r="F444" s="24">
        <v>50.457000000000001</v>
      </c>
      <c r="G444" s="24">
        <v>-144.74100000000001</v>
      </c>
      <c r="H444" s="5">
        <v>8</v>
      </c>
      <c r="I444" s="25">
        <v>43337.115277777775</v>
      </c>
      <c r="J444" s="26">
        <v>43337.115277777775</v>
      </c>
      <c r="K444" s="7">
        <v>2.2445775600000002</v>
      </c>
      <c r="L444" s="7">
        <v>2.4265336861795288</v>
      </c>
      <c r="M444" s="7">
        <v>9.3550731790189828E-2</v>
      </c>
      <c r="N444" s="6">
        <v>1325.5254133551543</v>
      </c>
      <c r="O444" s="6">
        <v>78.033010444013456</v>
      </c>
      <c r="P444" s="67">
        <v>3.0864880999999986</v>
      </c>
      <c r="Q444" s="7">
        <v>0.74248532115748733</v>
      </c>
      <c r="R444" s="67">
        <v>4.0912184145682629</v>
      </c>
      <c r="S444" s="7">
        <v>1.0132246719129496</v>
      </c>
      <c r="T444" s="171">
        <f t="shared" si="12"/>
        <v>2.8927321071045058</v>
      </c>
      <c r="U444" s="171">
        <f t="shared" si="13"/>
        <v>0.80860716587687864</v>
      </c>
    </row>
    <row r="445" spans="1:21" s="42" customFormat="1">
      <c r="A445" s="5">
        <v>698</v>
      </c>
      <c r="B445" s="28">
        <v>94.369</v>
      </c>
      <c r="C445" s="5" t="s">
        <v>156</v>
      </c>
      <c r="D445" s="5">
        <v>59</v>
      </c>
      <c r="E445" s="5">
        <v>2</v>
      </c>
      <c r="F445" s="24">
        <v>50.457000000000001</v>
      </c>
      <c r="G445" s="24">
        <v>-144.74100000000001</v>
      </c>
      <c r="H445" s="5">
        <v>7</v>
      </c>
      <c r="I445" s="25">
        <v>43337.115277777775</v>
      </c>
      <c r="J445" s="26">
        <v>43337.115277777775</v>
      </c>
      <c r="K445" s="7">
        <v>2.2605333600000002</v>
      </c>
      <c r="L445" s="7">
        <v>2.3163374554992648</v>
      </c>
      <c r="M445" s="7">
        <v>9.0484913701725483E-2</v>
      </c>
      <c r="N445" s="6">
        <v>1301.9675101971504</v>
      </c>
      <c r="O445" s="6">
        <v>86.880832095655933</v>
      </c>
      <c r="P445" s="67">
        <v>2.033904699999999</v>
      </c>
      <c r="Q445" s="7">
        <v>0.37572642676652107</v>
      </c>
      <c r="R445" s="67">
        <v>2.6480778382372812</v>
      </c>
      <c r="S445" s="7">
        <v>0.52012121310056869</v>
      </c>
      <c r="T445" s="171">
        <f t="shared" si="12"/>
        <v>1.8723468191050456</v>
      </c>
      <c r="U445" s="171">
        <f t="shared" si="13"/>
        <v>0.44062401418393388</v>
      </c>
    </row>
    <row r="446" spans="1:21" s="42" customFormat="1">
      <c r="A446" s="5">
        <v>699</v>
      </c>
      <c r="B446" s="28">
        <v>109.444</v>
      </c>
      <c r="C446" s="5" t="s">
        <v>156</v>
      </c>
      <c r="D446" s="5">
        <v>59</v>
      </c>
      <c r="E446" s="5">
        <v>2</v>
      </c>
      <c r="F446" s="24">
        <v>50.457000000000001</v>
      </c>
      <c r="G446" s="24">
        <v>-144.74100000000001</v>
      </c>
      <c r="H446" s="5">
        <v>6</v>
      </c>
      <c r="I446" s="25">
        <v>43337.115277777775</v>
      </c>
      <c r="J446" s="26">
        <v>43337.115277777775</v>
      </c>
      <c r="K446" s="7">
        <v>2.2760411400000002</v>
      </c>
      <c r="L446" s="7">
        <v>2.6236849437138465</v>
      </c>
      <c r="M446" s="7">
        <v>9.8502305314997596E-2</v>
      </c>
      <c r="N446" s="6">
        <v>1148.0796639613291</v>
      </c>
      <c r="O446" s="6">
        <v>97.208535121503189</v>
      </c>
      <c r="P446" s="67">
        <v>1.5211156000000001</v>
      </c>
      <c r="Q446" s="7">
        <v>0.27471540613458084</v>
      </c>
      <c r="R446" s="67">
        <v>1.7463618868943356</v>
      </c>
      <c r="S446" s="7">
        <v>0.34833646980191124</v>
      </c>
      <c r="T446" s="171">
        <f t="shared" si="12"/>
        <v>1.2347805931979197</v>
      </c>
      <c r="U446" s="171">
        <f t="shared" si="13"/>
        <v>0.29373400786549009</v>
      </c>
    </row>
    <row r="447" spans="1:21" s="42" customFormat="1">
      <c r="A447" s="5">
        <v>700</v>
      </c>
      <c r="B447" s="28">
        <v>125.152</v>
      </c>
      <c r="C447" s="5" t="s">
        <v>156</v>
      </c>
      <c r="D447" s="5">
        <v>59</v>
      </c>
      <c r="E447" s="5">
        <v>2</v>
      </c>
      <c r="F447" s="24">
        <v>50.457000000000001</v>
      </c>
      <c r="G447" s="24">
        <v>-144.74100000000001</v>
      </c>
      <c r="H447" s="5">
        <v>5</v>
      </c>
      <c r="I447" s="25">
        <v>43337.115277777775</v>
      </c>
      <c r="J447" s="26">
        <v>43337.115277777775</v>
      </c>
      <c r="K447" s="7">
        <v>2.3049423600000001</v>
      </c>
      <c r="L447" s="7">
        <v>2.6029935344472674</v>
      </c>
      <c r="M447" s="7">
        <v>9.9359603758039663E-2</v>
      </c>
      <c r="N447" s="6">
        <v>991.68868976396561</v>
      </c>
      <c r="O447" s="6">
        <v>110.3067271503425</v>
      </c>
      <c r="P447" s="67">
        <v>1.3624648000000001</v>
      </c>
      <c r="Q447" s="7">
        <v>0.28666170014309122</v>
      </c>
      <c r="R447" s="67">
        <v>1.3511409323615238</v>
      </c>
      <c r="S447" s="7">
        <v>0.32156093908193711</v>
      </c>
      <c r="T447" s="171">
        <f t="shared" si="12"/>
        <v>0.95533612733744777</v>
      </c>
      <c r="U447" s="171">
        <f t="shared" si="13"/>
        <v>0.2588995007630599</v>
      </c>
    </row>
    <row r="448" spans="1:21" s="42" customFormat="1">
      <c r="A448" s="5">
        <v>701</v>
      </c>
      <c r="B448" s="28">
        <v>145.93299999999999</v>
      </c>
      <c r="C448" s="5" t="s">
        <v>156</v>
      </c>
      <c r="D448" s="5">
        <v>59</v>
      </c>
      <c r="E448" s="5">
        <v>2</v>
      </c>
      <c r="F448" s="24">
        <v>50.457000000000001</v>
      </c>
      <c r="G448" s="24">
        <v>-144.74100000000001</v>
      </c>
      <c r="H448" s="5">
        <v>4</v>
      </c>
      <c r="I448" s="25">
        <v>43337.115277777775</v>
      </c>
      <c r="J448" s="26">
        <v>43337.115277777775</v>
      </c>
      <c r="K448" s="7">
        <v>2.3285616600000001</v>
      </c>
      <c r="L448" s="7">
        <v>2.2809655477033339</v>
      </c>
      <c r="M448" s="7">
        <v>5.9781535772351152E-2</v>
      </c>
      <c r="N448" s="6">
        <v>1040.622162383555</v>
      </c>
      <c r="O448" s="6">
        <v>126.2737637228887</v>
      </c>
      <c r="P448" s="67">
        <v>1.1525767000000002</v>
      </c>
      <c r="Q448" s="7">
        <v>0.28793774966560676</v>
      </c>
      <c r="R448" s="67">
        <v>1.1993968578669021</v>
      </c>
      <c r="S448" s="7">
        <v>0.33311067991788745</v>
      </c>
      <c r="T448" s="171">
        <f t="shared" si="12"/>
        <v>0.84804413950556068</v>
      </c>
      <c r="U448" s="171">
        <f t="shared" si="13"/>
        <v>0.25991914751450962</v>
      </c>
    </row>
    <row r="449" spans="1:21" s="42" customFormat="1">
      <c r="A449" s="5">
        <v>702</v>
      </c>
      <c r="B449" s="28">
        <v>196.64699999999999</v>
      </c>
      <c r="C449" s="5" t="s">
        <v>156</v>
      </c>
      <c r="D449" s="5">
        <v>59</v>
      </c>
      <c r="E449" s="5">
        <v>2</v>
      </c>
      <c r="F449" s="24">
        <v>50.457000000000001</v>
      </c>
      <c r="G449" s="24">
        <v>-144.74100000000001</v>
      </c>
      <c r="H449" s="5">
        <v>3</v>
      </c>
      <c r="I449" s="25">
        <v>43337.115277777775</v>
      </c>
      <c r="J449" s="26">
        <v>43337.115277777775</v>
      </c>
      <c r="K449" s="7">
        <v>2.3377028400000004</v>
      </c>
      <c r="L449" s="7">
        <v>2.523063515063722</v>
      </c>
      <c r="M449" s="7">
        <v>9.6062185912725917E-2</v>
      </c>
      <c r="N449" s="6">
        <v>545.04957995169843</v>
      </c>
      <c r="O449" s="6">
        <v>286.19156729967176</v>
      </c>
      <c r="P449" s="67">
        <v>1.0327354</v>
      </c>
      <c r="Q449" s="7">
        <v>7.4224393080468423E-2</v>
      </c>
      <c r="R449" s="67">
        <v>0.56289199597124928</v>
      </c>
      <c r="S449" s="7">
        <v>0.29831610021631338</v>
      </c>
      <c r="T449" s="171">
        <f t="shared" si="12"/>
        <v>0.39799775631142958</v>
      </c>
      <c r="U449" s="171">
        <f t="shared" si="13"/>
        <v>0.21714463693021926</v>
      </c>
    </row>
    <row r="450" spans="1:21" s="42" customFormat="1">
      <c r="A450" s="5">
        <v>703</v>
      </c>
      <c r="B450" s="28">
        <v>331.85500000000002</v>
      </c>
      <c r="C450" s="5" t="s">
        <v>156</v>
      </c>
      <c r="D450" s="5">
        <v>59</v>
      </c>
      <c r="E450" s="5">
        <v>2</v>
      </c>
      <c r="F450" s="24">
        <v>50.457000000000001</v>
      </c>
      <c r="G450" s="24">
        <v>-144.74100000000001</v>
      </c>
      <c r="H450" s="5">
        <v>2</v>
      </c>
      <c r="I450" s="25">
        <v>43337.115277777775</v>
      </c>
      <c r="J450" s="26">
        <v>43337.115277777775</v>
      </c>
      <c r="K450" s="7">
        <v>2.3515521600000002</v>
      </c>
      <c r="L450" s="7">
        <v>2.3604328502147771</v>
      </c>
      <c r="M450" s="7">
        <v>9.0836150285091927E-2</v>
      </c>
      <c r="N450" s="6">
        <v>506.14701133906476</v>
      </c>
      <c r="O450" s="6">
        <v>490.14481076539778</v>
      </c>
      <c r="P450" s="67">
        <v>0.92925800000000003</v>
      </c>
      <c r="Q450" s="7">
        <v>0.14899207498438999</v>
      </c>
      <c r="R450" s="67">
        <v>0.47034115946291666</v>
      </c>
      <c r="S450" s="7">
        <v>0.46167171591530703</v>
      </c>
      <c r="T450" s="171">
        <f t="shared" si="12"/>
        <v>0.3325588700975568</v>
      </c>
      <c r="U450" s="171">
        <f t="shared" si="13"/>
        <v>0.32926316455914884</v>
      </c>
    </row>
    <row r="451" spans="1:21" s="42" customFormat="1">
      <c r="A451" s="5">
        <v>704</v>
      </c>
      <c r="B451" s="28">
        <v>501.27699999999999</v>
      </c>
      <c r="C451" s="5" t="s">
        <v>156</v>
      </c>
      <c r="D451" s="5">
        <v>59</v>
      </c>
      <c r="E451" s="5">
        <v>2</v>
      </c>
      <c r="F451" s="24">
        <v>50.457000000000001</v>
      </c>
      <c r="G451" s="24">
        <v>-144.74100000000001</v>
      </c>
      <c r="H451" s="5">
        <v>1</v>
      </c>
      <c r="I451" s="25">
        <v>43337.115277777775</v>
      </c>
      <c r="J451" s="26">
        <v>43337.115277777775</v>
      </c>
      <c r="K451" s="7">
        <v>2.3651499600000001</v>
      </c>
      <c r="L451" s="7">
        <v>2.6168280043504435</v>
      </c>
      <c r="M451" s="7">
        <v>9.8968240961080589E-2</v>
      </c>
      <c r="N451" s="6">
        <v>-107.01327857948297</v>
      </c>
      <c r="O451" s="6">
        <v>546.24029730002098</v>
      </c>
      <c r="P451" s="68">
        <v>0.87680272990205399</v>
      </c>
      <c r="Q451" s="7">
        <v>0.15828163628098546</v>
      </c>
      <c r="R451" s="67">
        <v>-9.3829534794259678E-2</v>
      </c>
      <c r="S451" s="7">
        <v>-0.47924440677715313</v>
      </c>
      <c r="T451" s="171">
        <f t="shared" si="12"/>
        <v>-6.6343001128351411E-2</v>
      </c>
      <c r="U451" s="171">
        <f t="shared" si="13"/>
        <v>-0.33896309758418924</v>
      </c>
    </row>
    <row r="452" spans="1:21" s="42" customFormat="1">
      <c r="A452" s="5">
        <v>747</v>
      </c>
      <c r="B452" s="28">
        <v>5.8729999999999896</v>
      </c>
      <c r="C452" s="5" t="s">
        <v>157</v>
      </c>
      <c r="D452" s="5">
        <v>60</v>
      </c>
      <c r="E452" s="5">
        <v>2</v>
      </c>
      <c r="F452" s="24">
        <v>50.381</v>
      </c>
      <c r="G452" s="24">
        <v>-144.995</v>
      </c>
      <c r="H452" s="5">
        <v>24</v>
      </c>
      <c r="I452" s="25">
        <v>43337.638194444444</v>
      </c>
      <c r="J452" s="26">
        <v>43337.638194444444</v>
      </c>
      <c r="K452" s="7">
        <v>2.2232062200000002</v>
      </c>
      <c r="L452" s="7">
        <v>1.4733587650905584</v>
      </c>
      <c r="M452" s="7">
        <v>6.9388447869747627E-2</v>
      </c>
      <c r="N452" s="6">
        <v>233.54480385220597</v>
      </c>
      <c r="O452" s="6">
        <v>21.61147756286821</v>
      </c>
      <c r="P452" s="7">
        <v>5.3045246601367619</v>
      </c>
      <c r="Q452" s="7">
        <v>1.8998610814664527</v>
      </c>
      <c r="R452" s="67">
        <v>1.2388441712808296</v>
      </c>
      <c r="S452" s="7">
        <v>0.45827293576327893</v>
      </c>
      <c r="T452" s="171">
        <f t="shared" si="12"/>
        <v>0.87593571079032773</v>
      </c>
      <c r="U452" s="171">
        <f t="shared" si="13"/>
        <v>0.34334366737851724</v>
      </c>
    </row>
    <row r="453" spans="1:21" s="42" customFormat="1">
      <c r="A453" s="5">
        <v>746</v>
      </c>
      <c r="B453" s="28">
        <v>15.786</v>
      </c>
      <c r="C453" s="5" t="s">
        <v>157</v>
      </c>
      <c r="D453" s="5">
        <v>60</v>
      </c>
      <c r="E453" s="5">
        <v>2</v>
      </c>
      <c r="F453" s="24">
        <v>50.381</v>
      </c>
      <c r="G453" s="24">
        <v>-144.995</v>
      </c>
      <c r="H453" s="5">
        <v>20</v>
      </c>
      <c r="I453" s="25">
        <v>43337.638194444444</v>
      </c>
      <c r="J453" s="26">
        <v>43337.638194444444</v>
      </c>
      <c r="K453" s="7">
        <v>2.2232219400000002</v>
      </c>
      <c r="L453" s="7">
        <v>1.437555856249769</v>
      </c>
      <c r="M453" s="7">
        <v>4.3509524483862923E-2</v>
      </c>
      <c r="N453" s="6">
        <v>568.80934193964924</v>
      </c>
      <c r="O453" s="6">
        <v>28.491702119039317</v>
      </c>
      <c r="P453" s="7">
        <v>5.3045246601367619</v>
      </c>
      <c r="Q453" s="7">
        <v>1.8998610814664527</v>
      </c>
      <c r="R453" s="67">
        <v>3.0172631812350335</v>
      </c>
      <c r="S453" s="7">
        <v>1.0911760000354993</v>
      </c>
      <c r="T453" s="171">
        <f t="shared" si="12"/>
        <v>2.1333825759248599</v>
      </c>
      <c r="U453" s="171">
        <f t="shared" si="13"/>
        <v>0.8195890072110894</v>
      </c>
    </row>
    <row r="454" spans="1:21" s="42" customFormat="1">
      <c r="A454" s="5">
        <v>745</v>
      </c>
      <c r="B454" s="28">
        <v>35.548000000000002</v>
      </c>
      <c r="C454" s="5" t="s">
        <v>157</v>
      </c>
      <c r="D454" s="5">
        <v>60</v>
      </c>
      <c r="E454" s="5">
        <v>2</v>
      </c>
      <c r="F454" s="24">
        <v>50.381</v>
      </c>
      <c r="G454" s="24">
        <v>-144.995</v>
      </c>
      <c r="H454" s="5">
        <v>17</v>
      </c>
      <c r="I454" s="25">
        <v>43337.638194444444</v>
      </c>
      <c r="J454" s="26">
        <v>43337.638194444444</v>
      </c>
      <c r="K454" s="7">
        <v>2.2331491199999998</v>
      </c>
      <c r="L454" s="7">
        <v>1.7629989468579887</v>
      </c>
      <c r="M454" s="7">
        <v>7.6734508088401307E-2</v>
      </c>
      <c r="N454" s="6">
        <v>811.35158863558263</v>
      </c>
      <c r="O454" s="6">
        <v>48.773227118388277</v>
      </c>
      <c r="P454" s="7">
        <v>5.3045246601367619</v>
      </c>
      <c r="Q454" s="7">
        <v>1.8998610814664527</v>
      </c>
      <c r="R454" s="67">
        <v>4.3038345099585857</v>
      </c>
      <c r="S454" s="7">
        <v>1.5630162739343756</v>
      </c>
      <c r="T454" s="171">
        <f t="shared" si="12"/>
        <v>3.0430641948348267</v>
      </c>
      <c r="U454" s="171">
        <f t="shared" si="13"/>
        <v>1.1734313044797744</v>
      </c>
    </row>
    <row r="455" spans="1:21" s="42" customFormat="1">
      <c r="A455" s="5">
        <v>744</v>
      </c>
      <c r="B455" s="28">
        <v>51.661000000000001</v>
      </c>
      <c r="C455" s="5" t="s">
        <v>157</v>
      </c>
      <c r="D455" s="5">
        <v>60</v>
      </c>
      <c r="E455" s="5">
        <v>2</v>
      </c>
      <c r="F455" s="24">
        <v>50.381</v>
      </c>
      <c r="G455" s="24">
        <v>-144.995</v>
      </c>
      <c r="H455" s="5">
        <v>14</v>
      </c>
      <c r="I455" s="25">
        <v>43337.638194444444</v>
      </c>
      <c r="J455" s="26">
        <v>43337.638194444444</v>
      </c>
      <c r="K455" s="7">
        <v>2.2377865200000002</v>
      </c>
      <c r="L455" s="7">
        <v>1.7137102140230869</v>
      </c>
      <c r="M455" s="7">
        <v>4.9251143666057019E-2</v>
      </c>
      <c r="N455" s="6">
        <v>1112.9283955272622</v>
      </c>
      <c r="O455" s="6">
        <v>56.409722946520375</v>
      </c>
      <c r="P455" s="67">
        <v>5.1814842999999993</v>
      </c>
      <c r="Q455" s="7">
        <v>1.8222096365752287</v>
      </c>
      <c r="R455" s="67">
        <v>5.7666210084486984</v>
      </c>
      <c r="S455" s="7">
        <v>2.0489436119117808</v>
      </c>
      <c r="T455" s="171">
        <f t="shared" ref="T455:T518" si="14">R455*U$1</f>
        <v>4.0773403055781978</v>
      </c>
      <c r="U455" s="171">
        <f t="shared" ref="U455:U518" si="15">((((S455/R455)^2+(V$1/U$1)^2))^0.5)*T455</f>
        <v>1.5421218169509263</v>
      </c>
    </row>
    <row r="456" spans="1:21" s="42" customFormat="1">
      <c r="A456" s="5">
        <v>743</v>
      </c>
      <c r="B456" s="28">
        <v>75.564999999999998</v>
      </c>
      <c r="C456" s="5" t="s">
        <v>157</v>
      </c>
      <c r="D456" s="5">
        <v>60</v>
      </c>
      <c r="E456" s="5">
        <v>2</v>
      </c>
      <c r="F456" s="24">
        <v>50.381</v>
      </c>
      <c r="G456" s="24">
        <v>-144.995</v>
      </c>
      <c r="H456" s="5">
        <v>11</v>
      </c>
      <c r="I456" s="25">
        <v>43337.638194444444</v>
      </c>
      <c r="J456" s="26">
        <v>43337.638194444444</v>
      </c>
      <c r="K456" s="7">
        <v>2.2436500800000001</v>
      </c>
      <c r="L456" s="7">
        <v>2.0744743331235536</v>
      </c>
      <c r="M456" s="7">
        <v>5.5306614491916692E-2</v>
      </c>
      <c r="N456" s="6">
        <v>1220.0252272774492</v>
      </c>
      <c r="O456" s="6">
        <v>66.391938595904179</v>
      </c>
      <c r="P456" s="67">
        <v>3.4197594999999996</v>
      </c>
      <c r="Q456" s="7">
        <v>0.88310643344219242</v>
      </c>
      <c r="R456" s="67">
        <v>4.1721928612217152</v>
      </c>
      <c r="S456" s="7">
        <v>1.1010749655829346</v>
      </c>
      <c r="T456" s="171">
        <f t="shared" si="14"/>
        <v>2.9499858046473637</v>
      </c>
      <c r="U456" s="171">
        <f t="shared" si="15"/>
        <v>0.86736650714774421</v>
      </c>
    </row>
    <row r="457" spans="1:21" s="42" customFormat="1">
      <c r="A457" s="5">
        <v>742</v>
      </c>
      <c r="B457" s="28">
        <v>95.683999999999997</v>
      </c>
      <c r="C457" s="5" t="s">
        <v>157</v>
      </c>
      <c r="D457" s="5">
        <v>60</v>
      </c>
      <c r="E457" s="5">
        <v>2</v>
      </c>
      <c r="F457" s="24">
        <v>50.381</v>
      </c>
      <c r="G457" s="24">
        <v>-144.995</v>
      </c>
      <c r="H457" s="5">
        <v>10</v>
      </c>
      <c r="I457" s="25">
        <v>43337.638194444444</v>
      </c>
      <c r="J457" s="26">
        <v>43337.638194444444</v>
      </c>
      <c r="K457" s="7">
        <v>2.2508577000000001</v>
      </c>
      <c r="L457" s="7">
        <v>2.1630654309785045</v>
      </c>
      <c r="M457" s="7">
        <v>8.7445284830127576E-2</v>
      </c>
      <c r="N457" s="6">
        <v>1264.1365915590845</v>
      </c>
      <c r="O457" s="6">
        <v>79.613763704134939</v>
      </c>
      <c r="P457" s="67">
        <v>1.9369891999999993</v>
      </c>
      <c r="Q457" s="7">
        <v>0.34786630004256464</v>
      </c>
      <c r="R457" s="67">
        <v>2.448618925174757</v>
      </c>
      <c r="S457" s="7">
        <v>0.46600595650402965</v>
      </c>
      <c r="T457" s="171">
        <f t="shared" si="14"/>
        <v>1.7313176333227418</v>
      </c>
      <c r="U457" s="171">
        <f t="shared" si="15"/>
        <v>0.39866200452422507</v>
      </c>
    </row>
    <row r="458" spans="1:21" s="42" customFormat="1">
      <c r="A458" s="5">
        <v>741</v>
      </c>
      <c r="B458" s="28">
        <v>110.506</v>
      </c>
      <c r="C458" s="5" t="s">
        <v>157</v>
      </c>
      <c r="D458" s="5">
        <v>60</v>
      </c>
      <c r="E458" s="5">
        <v>2</v>
      </c>
      <c r="F458" s="24">
        <v>50.381</v>
      </c>
      <c r="G458" s="24">
        <v>-144.995</v>
      </c>
      <c r="H458" s="5">
        <v>7</v>
      </c>
      <c r="I458" s="25">
        <v>43337.638194444444</v>
      </c>
      <c r="J458" s="26">
        <v>43337.638194444444</v>
      </c>
      <c r="K458" s="7">
        <v>2.2697059800000003</v>
      </c>
      <c r="L458" s="7">
        <v>2.5364092031605194</v>
      </c>
      <c r="M458" s="7">
        <v>9.8389155391568853E-2</v>
      </c>
      <c r="N458" s="6">
        <v>1145.7096870128269</v>
      </c>
      <c r="O458" s="6">
        <v>90.8133021492647</v>
      </c>
      <c r="P458" s="67">
        <v>1.5103894</v>
      </c>
      <c r="Q458" s="7">
        <v>0.2758210924444508</v>
      </c>
      <c r="R458" s="67">
        <v>1.7304677667414914</v>
      </c>
      <c r="S458" s="7">
        <v>0.3444948462064788</v>
      </c>
      <c r="T458" s="171">
        <f t="shared" si="14"/>
        <v>1.2235425151924555</v>
      </c>
      <c r="U458" s="171">
        <f t="shared" si="15"/>
        <v>0.2906627682366571</v>
      </c>
    </row>
    <row r="459" spans="1:21" s="42" customFormat="1">
      <c r="A459" s="5">
        <v>740</v>
      </c>
      <c r="B459" s="28">
        <v>126.56299999999899</v>
      </c>
      <c r="C459" s="5" t="s">
        <v>157</v>
      </c>
      <c r="D459" s="5">
        <v>60</v>
      </c>
      <c r="E459" s="5">
        <v>2</v>
      </c>
      <c r="F459" s="24">
        <v>50.381</v>
      </c>
      <c r="G459" s="24">
        <v>-144.995</v>
      </c>
      <c r="H459" s="5">
        <v>6</v>
      </c>
      <c r="I459" s="25">
        <v>43337.638194444444</v>
      </c>
      <c r="J459" s="26">
        <v>43337.638194444444</v>
      </c>
      <c r="K459" s="7">
        <v>2.29859934</v>
      </c>
      <c r="L459" s="7">
        <v>2.3921147589673382</v>
      </c>
      <c r="M459" s="7">
        <v>6.1085769053691938E-2</v>
      </c>
      <c r="N459" s="6">
        <v>1090.7604420360792</v>
      </c>
      <c r="O459" s="6">
        <v>97.649451928226028</v>
      </c>
      <c r="P459" s="67">
        <v>1.3482137000000103</v>
      </c>
      <c r="Q459" s="7">
        <v>0.28727199717155033</v>
      </c>
      <c r="R459" s="67">
        <v>1.4705781713711092</v>
      </c>
      <c r="S459" s="7">
        <v>0.33987848011649407</v>
      </c>
      <c r="T459" s="171">
        <f t="shared" si="14"/>
        <v>1.0397852818574473</v>
      </c>
      <c r="U459" s="171">
        <f t="shared" si="15"/>
        <v>0.27553061851221855</v>
      </c>
    </row>
    <row r="460" spans="1:21" s="42" customFormat="1">
      <c r="A460" s="5">
        <v>739</v>
      </c>
      <c r="B460" s="28">
        <v>151.36799999999999</v>
      </c>
      <c r="C460" s="5" t="s">
        <v>157</v>
      </c>
      <c r="D460" s="5">
        <v>60</v>
      </c>
      <c r="E460" s="5">
        <v>2</v>
      </c>
      <c r="F460" s="24">
        <v>50.381</v>
      </c>
      <c r="G460" s="24">
        <v>-144.995</v>
      </c>
      <c r="H460" s="5">
        <v>5</v>
      </c>
      <c r="I460" s="25">
        <v>43337.638194444444</v>
      </c>
      <c r="J460" s="26">
        <v>43337.638194444444</v>
      </c>
      <c r="K460" s="7">
        <v>2.3271154200000002</v>
      </c>
      <c r="L460" s="7">
        <v>2.3606560224955078</v>
      </c>
      <c r="M460" s="7">
        <v>9.2501122821628437E-2</v>
      </c>
      <c r="N460" s="6">
        <v>1057.4204961950004</v>
      </c>
      <c r="O460" s="6">
        <v>134.12606535170059</v>
      </c>
      <c r="P460" s="67">
        <v>1.1142376000000001</v>
      </c>
      <c r="Q460" s="7">
        <v>0.28098021935146256</v>
      </c>
      <c r="R460" s="67">
        <v>1.1782176758711265</v>
      </c>
      <c r="S460" s="7">
        <v>0.33258332683387914</v>
      </c>
      <c r="T460" s="171">
        <f t="shared" si="14"/>
        <v>0.83306921185485616</v>
      </c>
      <c r="U460" s="171">
        <f t="shared" si="15"/>
        <v>0.25876525942528816</v>
      </c>
    </row>
    <row r="461" spans="1:21" s="42" customFormat="1">
      <c r="A461" s="5">
        <v>738</v>
      </c>
      <c r="B461" s="28">
        <v>195.68799999999999</v>
      </c>
      <c r="C461" s="5" t="s">
        <v>157</v>
      </c>
      <c r="D461" s="5">
        <v>60</v>
      </c>
      <c r="E461" s="5">
        <v>2</v>
      </c>
      <c r="F461" s="24">
        <v>50.381</v>
      </c>
      <c r="G461" s="24">
        <v>-144.995</v>
      </c>
      <c r="H461" s="5">
        <v>3</v>
      </c>
      <c r="I461" s="25">
        <v>43337.638194444444</v>
      </c>
      <c r="J461" s="26">
        <v>43337.638194444444</v>
      </c>
      <c r="K461" s="7">
        <v>2.3360994000000002</v>
      </c>
      <c r="L461" s="7">
        <v>2.2649810095662475</v>
      </c>
      <c r="M461" s="7">
        <v>5.8434242337337933E-2</v>
      </c>
      <c r="N461" s="6">
        <v>1240.8345036685239</v>
      </c>
      <c r="O461" s="6">
        <v>201.74436243577634</v>
      </c>
      <c r="P461" s="67">
        <v>1.0344616000000002</v>
      </c>
      <c r="Q461" s="7">
        <v>7.8298795737254526E-2</v>
      </c>
      <c r="R461" s="67">
        <v>1.2835956460001474</v>
      </c>
      <c r="S461" s="7">
        <v>0.23020341291135335</v>
      </c>
      <c r="T461" s="171">
        <f t="shared" si="14"/>
        <v>0.90757763616392273</v>
      </c>
      <c r="U461" s="171">
        <f t="shared" si="15"/>
        <v>0.20083207869255654</v>
      </c>
    </row>
    <row r="462" spans="1:21" s="42" customFormat="1">
      <c r="A462" s="5">
        <v>737</v>
      </c>
      <c r="B462" s="28">
        <v>330.714</v>
      </c>
      <c r="C462" s="5" t="s">
        <v>157</v>
      </c>
      <c r="D462" s="5">
        <v>60</v>
      </c>
      <c r="E462" s="5">
        <v>2</v>
      </c>
      <c r="F462" s="24">
        <v>50.381</v>
      </c>
      <c r="G462" s="24">
        <v>-144.995</v>
      </c>
      <c r="H462" s="5">
        <v>2</v>
      </c>
      <c r="I462" s="25">
        <v>43337.638194444444</v>
      </c>
      <c r="J462" s="26">
        <v>43337.638194444444</v>
      </c>
      <c r="K462" s="7">
        <v>2.3529512399999999</v>
      </c>
      <c r="L462" s="7">
        <v>2.4612426967436507</v>
      </c>
      <c r="M462" s="7">
        <v>9.7352251707118018E-2</v>
      </c>
      <c r="N462" s="6">
        <v>1030.5678106822265</v>
      </c>
      <c r="O462" s="6">
        <v>276.46290719112665</v>
      </c>
      <c r="P462" s="67">
        <v>0.92971440000000005</v>
      </c>
      <c r="Q462" s="7">
        <v>0.14893689432987364</v>
      </c>
      <c r="R462" s="67">
        <v>0.9581337337677398</v>
      </c>
      <c r="S462" s="7">
        <v>0.29937311737471201</v>
      </c>
      <c r="T462" s="171">
        <f t="shared" si="14"/>
        <v>0.67745691716200995</v>
      </c>
      <c r="U462" s="171">
        <f t="shared" si="15"/>
        <v>0.22916719650471937</v>
      </c>
    </row>
    <row r="463" spans="1:21" s="42" customFormat="1">
      <c r="A463" s="5">
        <v>810</v>
      </c>
      <c r="B463" s="28">
        <v>5.56</v>
      </c>
      <c r="C463" s="5" t="s">
        <v>135</v>
      </c>
      <c r="D463" s="5">
        <v>66</v>
      </c>
      <c r="E463" s="5">
        <v>2</v>
      </c>
      <c r="F463" s="24">
        <v>50.526000000000003</v>
      </c>
      <c r="G463" s="24">
        <v>-145.00700000000001</v>
      </c>
      <c r="H463" s="5">
        <v>24</v>
      </c>
      <c r="I463" s="25">
        <v>43339.638888888891</v>
      </c>
      <c r="J463" s="26">
        <v>43339.638888888891</v>
      </c>
      <c r="K463" s="7">
        <v>2.2236699600000001</v>
      </c>
      <c r="L463" s="7">
        <v>1.1978197429382158</v>
      </c>
      <c r="M463" s="7">
        <v>7.9042397891114932E-2</v>
      </c>
      <c r="N463" s="6">
        <v>315.12637340424584</v>
      </c>
      <c r="O463" s="6">
        <v>24.28068325992496</v>
      </c>
      <c r="P463" s="7">
        <v>5.3045246601367619</v>
      </c>
      <c r="Q463" s="7">
        <v>1.8998610814664527</v>
      </c>
      <c r="R463" s="67">
        <v>1.6715956187822876</v>
      </c>
      <c r="S463" s="7">
        <v>0.6123937379622385</v>
      </c>
      <c r="T463" s="171">
        <f t="shared" si="14"/>
        <v>1.1819164431134443</v>
      </c>
      <c r="U463" s="171">
        <f t="shared" si="15"/>
        <v>0.45930350443528617</v>
      </c>
    </row>
    <row r="464" spans="1:21" s="42" customFormat="1">
      <c r="A464" s="5">
        <v>809</v>
      </c>
      <c r="B464" s="28">
        <v>15.802</v>
      </c>
      <c r="C464" s="5" t="s">
        <v>135</v>
      </c>
      <c r="D464" s="5">
        <v>66</v>
      </c>
      <c r="E464" s="5">
        <v>2</v>
      </c>
      <c r="F464" s="24">
        <v>50.526000000000003</v>
      </c>
      <c r="G464" s="24">
        <v>-145.00700000000001</v>
      </c>
      <c r="H464" s="5">
        <v>20</v>
      </c>
      <c r="I464" s="25">
        <v>43339.638888888891</v>
      </c>
      <c r="J464" s="26">
        <v>43339.638888888891</v>
      </c>
      <c r="K464" s="7">
        <v>2.22368568</v>
      </c>
      <c r="L464" s="7">
        <v>1.3543765073677305</v>
      </c>
      <c r="M464" s="7">
        <v>6.3934996171271935E-2</v>
      </c>
      <c r="N464" s="6">
        <v>876.09375577678088</v>
      </c>
      <c r="O464" s="6">
        <v>47.87197192545343</v>
      </c>
      <c r="P464" s="7">
        <v>5.3045246601367619</v>
      </c>
      <c r="Q464" s="7">
        <v>1.8998610814664527</v>
      </c>
      <c r="R464" s="67">
        <v>4.6472609321097682</v>
      </c>
      <c r="S464" s="7">
        <v>1.683716052220948</v>
      </c>
      <c r="T464" s="171">
        <f t="shared" si="14"/>
        <v>3.2858868792085691</v>
      </c>
      <c r="U464" s="171">
        <f t="shared" si="15"/>
        <v>1.2643879739512738</v>
      </c>
    </row>
    <row r="465" spans="1:21" s="42" customFormat="1">
      <c r="A465" s="5">
        <v>807</v>
      </c>
      <c r="B465" s="28">
        <v>50.435000000000002</v>
      </c>
      <c r="C465" s="5" t="s">
        <v>135</v>
      </c>
      <c r="D465" s="5">
        <v>66</v>
      </c>
      <c r="E465" s="5">
        <v>2</v>
      </c>
      <c r="F465" s="24">
        <v>50.526000000000003</v>
      </c>
      <c r="G465" s="24">
        <v>-145.00700000000001</v>
      </c>
      <c r="H465" s="5">
        <v>14</v>
      </c>
      <c r="I465" s="25">
        <v>43339.638888888891</v>
      </c>
      <c r="J465" s="26">
        <v>43339.638888888891</v>
      </c>
      <c r="K465" s="7">
        <v>2.2402467000000006</v>
      </c>
      <c r="L465" s="7">
        <v>1.5040663627736297</v>
      </c>
      <c r="M465" s="7">
        <v>8.9059836908424991E-2</v>
      </c>
      <c r="N465" s="6">
        <v>1508.1577864003948</v>
      </c>
      <c r="O465" s="6">
        <v>90.213723880194863</v>
      </c>
      <c r="P465" s="7">
        <v>5.3045246601367619</v>
      </c>
      <c r="Q465" s="7">
        <v>1.8998610814664527</v>
      </c>
      <c r="R465" s="67">
        <v>8.0000601693381643</v>
      </c>
      <c r="S465" s="7">
        <v>2.9049767333622829</v>
      </c>
      <c r="T465" s="171">
        <f t="shared" si="14"/>
        <v>5.6565131864402165</v>
      </c>
      <c r="U465" s="171">
        <f t="shared" si="15"/>
        <v>2.1809386221558937</v>
      </c>
    </row>
    <row r="466" spans="1:21" s="42" customFormat="1">
      <c r="A466" s="5">
        <v>806</v>
      </c>
      <c r="B466" s="28">
        <v>75.507999999999996</v>
      </c>
      <c r="C466" s="5" t="s">
        <v>135</v>
      </c>
      <c r="D466" s="5">
        <v>66</v>
      </c>
      <c r="E466" s="5">
        <v>2</v>
      </c>
      <c r="F466" s="24">
        <v>50.526000000000003</v>
      </c>
      <c r="G466" s="24">
        <v>-145.00700000000001</v>
      </c>
      <c r="H466" s="5">
        <v>11</v>
      </c>
      <c r="I466" s="25">
        <v>43339.638888888891</v>
      </c>
      <c r="J466" s="26">
        <v>43339.638888888891</v>
      </c>
      <c r="K466" s="7">
        <v>2.2439330399999999</v>
      </c>
      <c r="L466" s="7">
        <v>1.8416144419510767</v>
      </c>
      <c r="M466" s="7">
        <v>0.10370778883556406</v>
      </c>
      <c r="N466" s="6">
        <v>1766.0625224516368</v>
      </c>
      <c r="O466" s="6">
        <v>112.06382646323115</v>
      </c>
      <c r="P466" s="67">
        <v>3.4239603999999995</v>
      </c>
      <c r="Q466" s="7">
        <v>0.88495416168657104</v>
      </c>
      <c r="R466" s="67">
        <v>6.0469281407985145</v>
      </c>
      <c r="S466" s="7">
        <v>1.60929639499121</v>
      </c>
      <c r="T466" s="171">
        <f t="shared" si="14"/>
        <v>4.2755339387294784</v>
      </c>
      <c r="U466" s="171">
        <f t="shared" si="15"/>
        <v>1.2656610266862254</v>
      </c>
    </row>
    <row r="467" spans="1:21" s="42" customFormat="1">
      <c r="A467" s="5">
        <v>805</v>
      </c>
      <c r="B467" s="28">
        <v>95.013999999999996</v>
      </c>
      <c r="C467" s="5" t="s">
        <v>135</v>
      </c>
      <c r="D467" s="5">
        <v>66</v>
      </c>
      <c r="E467" s="5">
        <v>2</v>
      </c>
      <c r="F467" s="24">
        <v>50.526000000000003</v>
      </c>
      <c r="G467" s="24">
        <v>-145.00700000000001</v>
      </c>
      <c r="H467" s="5">
        <v>10</v>
      </c>
      <c r="I467" s="25">
        <v>43339.638888888891</v>
      </c>
      <c r="J467" s="26">
        <v>43339.638888888891</v>
      </c>
      <c r="K467" s="7">
        <v>2.2538287800000001</v>
      </c>
      <c r="L467" s="7">
        <v>2.2717244730773052</v>
      </c>
      <c r="M467" s="7">
        <v>8.9547580685144221E-2</v>
      </c>
      <c r="N467" s="6">
        <v>1757.1233005633062</v>
      </c>
      <c r="O467" s="6">
        <v>120.66122326613112</v>
      </c>
      <c r="P467" s="67">
        <v>1.9863681999999994</v>
      </c>
      <c r="Q467" s="7">
        <v>0.36193669398688677</v>
      </c>
      <c r="R467" s="67">
        <v>3.4902938477179921</v>
      </c>
      <c r="S467" s="7">
        <v>0.67963217387840547</v>
      </c>
      <c r="T467" s="171">
        <f t="shared" si="14"/>
        <v>2.4678430857103528</v>
      </c>
      <c r="U467" s="171">
        <f t="shared" si="15"/>
        <v>0.57727902875618053</v>
      </c>
    </row>
    <row r="468" spans="1:21" s="42" customFormat="1">
      <c r="A468" s="5">
        <v>804</v>
      </c>
      <c r="B468" s="28">
        <v>110.245</v>
      </c>
      <c r="C468" s="5" t="s">
        <v>135</v>
      </c>
      <c r="D468" s="5">
        <v>66</v>
      </c>
      <c r="E468" s="5">
        <v>2</v>
      </c>
      <c r="F468" s="24">
        <v>50.526000000000003</v>
      </c>
      <c r="G468" s="24">
        <v>-145.00700000000001</v>
      </c>
      <c r="H468" s="5">
        <v>7</v>
      </c>
      <c r="I468" s="25">
        <v>43339.638888888891</v>
      </c>
      <c r="J468" s="26">
        <v>43339.638888888891</v>
      </c>
      <c r="K468" s="7">
        <v>2.2791065400000003</v>
      </c>
      <c r="L468" s="7">
        <v>2.1820133780014377</v>
      </c>
      <c r="M468" s="7">
        <v>8.5384628015002767E-2</v>
      </c>
      <c r="N468" s="6">
        <v>1799.1028360273453</v>
      </c>
      <c r="O468" s="6">
        <v>126.18244709070852</v>
      </c>
      <c r="P468" s="67">
        <v>1.5130255000000001</v>
      </c>
      <c r="Q468" s="7">
        <v>0.27555336152450755</v>
      </c>
      <c r="R468" s="67">
        <v>2.7220884680316928</v>
      </c>
      <c r="S468" s="7">
        <v>0.53124034749879723</v>
      </c>
      <c r="T468" s="171">
        <f t="shared" si="14"/>
        <v>1.9246766884444493</v>
      </c>
      <c r="U468" s="171">
        <f t="shared" si="15"/>
        <v>0.45092404796672075</v>
      </c>
    </row>
    <row r="469" spans="1:21" s="42" customFormat="1">
      <c r="A469" s="5">
        <v>803</v>
      </c>
      <c r="B469" s="28">
        <v>125.081</v>
      </c>
      <c r="C469" s="5" t="s">
        <v>135</v>
      </c>
      <c r="D469" s="5">
        <v>66</v>
      </c>
      <c r="E469" s="5">
        <v>2</v>
      </c>
      <c r="F469" s="24">
        <v>50.526000000000003</v>
      </c>
      <c r="G469" s="24">
        <v>-145.00700000000001</v>
      </c>
      <c r="H469" s="5">
        <v>6</v>
      </c>
      <c r="I469" s="25">
        <v>43339.638888888891</v>
      </c>
      <c r="J469" s="26">
        <v>43339.638888888891</v>
      </c>
      <c r="K469" s="7">
        <v>2.3098155600000001</v>
      </c>
      <c r="L469" s="7">
        <v>1.9964306020795344</v>
      </c>
      <c r="M469" s="7">
        <v>0.10745062575910558</v>
      </c>
      <c r="N469" s="6">
        <v>1979.0554234759441</v>
      </c>
      <c r="O469" s="6">
        <v>140.4598355669946</v>
      </c>
      <c r="P469" s="67">
        <v>1.3631819000000001</v>
      </c>
      <c r="Q469" s="7">
        <v>0.28662897463210835</v>
      </c>
      <c r="R469" s="67">
        <v>2.6978125323792419</v>
      </c>
      <c r="S469" s="7">
        <v>0.59869813376609538</v>
      </c>
      <c r="T469" s="171">
        <f t="shared" si="14"/>
        <v>1.9075121737752274</v>
      </c>
      <c r="U469" s="171">
        <f t="shared" si="15"/>
        <v>0.4902383728842325</v>
      </c>
    </row>
    <row r="470" spans="1:21" s="42" customFormat="1">
      <c r="A470" s="5">
        <v>802</v>
      </c>
      <c r="B470" s="28">
        <v>150.17699999999999</v>
      </c>
      <c r="C470" s="5" t="s">
        <v>135</v>
      </c>
      <c r="D470" s="5">
        <v>66</v>
      </c>
      <c r="E470" s="5">
        <v>2</v>
      </c>
      <c r="F470" s="24">
        <v>50.526000000000003</v>
      </c>
      <c r="G470" s="24">
        <v>-145.00700000000001</v>
      </c>
      <c r="H470" s="5">
        <v>5</v>
      </c>
      <c r="I470" s="25">
        <v>43339.638888888891</v>
      </c>
      <c r="J470" s="26">
        <v>43339.638888888891</v>
      </c>
      <c r="K470" s="7">
        <v>2.3280507600000004</v>
      </c>
      <c r="L470" s="7">
        <v>2.3923342009554776</v>
      </c>
      <c r="M470" s="7">
        <v>9.3023815681110109E-2</v>
      </c>
      <c r="N470" s="6">
        <v>1914.3541825813272</v>
      </c>
      <c r="O470" s="6">
        <v>168.80534468946627</v>
      </c>
      <c r="P470" s="67">
        <v>1.1169601976727355</v>
      </c>
      <c r="Q470" s="7">
        <v>0.28766856890476489</v>
      </c>
      <c r="R470" s="67">
        <v>2.1382574261916671</v>
      </c>
      <c r="S470" s="7">
        <v>0.58208301770971693</v>
      </c>
      <c r="T470" s="171">
        <f t="shared" si="14"/>
        <v>1.5118737948514074</v>
      </c>
      <c r="U470" s="171">
        <f t="shared" si="15"/>
        <v>0.45584455149694653</v>
      </c>
    </row>
    <row r="471" spans="1:21" s="42" customFormat="1">
      <c r="A471" s="5">
        <v>801</v>
      </c>
      <c r="B471" s="28">
        <v>195.07400000000001</v>
      </c>
      <c r="C471" s="5" t="s">
        <v>135</v>
      </c>
      <c r="D471" s="5">
        <v>66</v>
      </c>
      <c r="E471" s="5">
        <v>2</v>
      </c>
      <c r="F471" s="24">
        <v>50.526000000000003</v>
      </c>
      <c r="G471" s="24">
        <v>-145.00700000000001</v>
      </c>
      <c r="H471" s="5">
        <v>3</v>
      </c>
      <c r="I471" s="25">
        <v>43339.638888888891</v>
      </c>
      <c r="J471" s="26">
        <v>43339.638888888891</v>
      </c>
      <c r="K471" s="7">
        <v>2.3359343400000001</v>
      </c>
      <c r="L471" s="7">
        <v>2.3449780176402535</v>
      </c>
      <c r="M471" s="7">
        <v>9.2117011128734688E-2</v>
      </c>
      <c r="N471" s="6">
        <v>1890.7745141462221</v>
      </c>
      <c r="O471" s="6">
        <v>293.5651762754834</v>
      </c>
      <c r="P471" s="67">
        <v>1.0355668</v>
      </c>
      <c r="Q471" s="7">
        <v>8.0914355726177542E-2</v>
      </c>
      <c r="R471" s="67">
        <v>1.9580233131359579</v>
      </c>
      <c r="S471" s="7">
        <v>0.34033225874012163</v>
      </c>
      <c r="T471" s="171">
        <f t="shared" si="14"/>
        <v>1.384437673676544</v>
      </c>
      <c r="U471" s="171">
        <f t="shared" si="15"/>
        <v>0.30018378277787744</v>
      </c>
    </row>
    <row r="472" spans="1:21" s="42" customFormat="1">
      <c r="A472" s="5">
        <v>800</v>
      </c>
      <c r="B472" s="28">
        <v>331.491999999999</v>
      </c>
      <c r="C472" s="5" t="s">
        <v>135</v>
      </c>
      <c r="D472" s="5">
        <v>66</v>
      </c>
      <c r="E472" s="5">
        <v>2</v>
      </c>
      <c r="F472" s="24">
        <v>50.526000000000003</v>
      </c>
      <c r="G472" s="24">
        <v>-145.00700000000001</v>
      </c>
      <c r="H472" s="5">
        <v>2</v>
      </c>
      <c r="I472" s="25">
        <v>43339.638888888891</v>
      </c>
      <c r="J472" s="26">
        <v>43339.638888888891</v>
      </c>
      <c r="K472" s="7">
        <v>2.3503967399999999</v>
      </c>
      <c r="L472" s="7">
        <v>2.2674708145007676</v>
      </c>
      <c r="M472" s="7">
        <v>0.11766148791936015</v>
      </c>
      <c r="N472" s="6">
        <v>2053.4495425965874</v>
      </c>
      <c r="O472" s="6">
        <v>373.43846978435346</v>
      </c>
      <c r="P472" s="67">
        <v>0.92940320000000043</v>
      </c>
      <c r="Q472" s="7">
        <v>0.14897453337050237</v>
      </c>
      <c r="R472" s="67">
        <v>1.9084825759278055</v>
      </c>
      <c r="S472" s="7">
        <v>0.46264776323442386</v>
      </c>
      <c r="T472" s="171">
        <f t="shared" si="14"/>
        <v>1.349409457969128</v>
      </c>
      <c r="U472" s="171">
        <f t="shared" si="15"/>
        <v>0.37094884128726036</v>
      </c>
    </row>
    <row r="473" spans="1:21" s="42" customFormat="1">
      <c r="A473" s="5">
        <v>811</v>
      </c>
      <c r="B473" s="28">
        <v>6.3339999999999996</v>
      </c>
      <c r="C473" s="5" t="s">
        <v>138</v>
      </c>
      <c r="D473" s="5">
        <v>69</v>
      </c>
      <c r="E473" s="5">
        <v>2</v>
      </c>
      <c r="F473" s="24">
        <v>50.576000000000001</v>
      </c>
      <c r="G473" s="24">
        <v>-145.089</v>
      </c>
      <c r="H473" s="5">
        <v>17</v>
      </c>
      <c r="I473" s="25">
        <v>43340.007638888892</v>
      </c>
      <c r="J473" s="26">
        <v>43340.007638888892</v>
      </c>
      <c r="K473" s="7">
        <v>2.2233555600000003</v>
      </c>
      <c r="L473" s="7">
        <v>1.4099430620020386</v>
      </c>
      <c r="M473" s="7">
        <v>8.2739956337284301E-2</v>
      </c>
      <c r="N473" s="6">
        <v>328.01537367791144</v>
      </c>
      <c r="O473" s="6">
        <v>33.365577444245744</v>
      </c>
      <c r="P473" s="7">
        <v>5.3045246601367619</v>
      </c>
      <c r="Q473" s="7">
        <v>1.8998610814664527</v>
      </c>
      <c r="R473" s="67">
        <v>1.7399656385784563</v>
      </c>
      <c r="S473" s="7">
        <v>0.64782929197392092</v>
      </c>
      <c r="T473" s="171">
        <f t="shared" si="14"/>
        <v>1.2302580693447633</v>
      </c>
      <c r="U473" s="171">
        <f t="shared" si="15"/>
        <v>0.48501996323978874</v>
      </c>
    </row>
    <row r="474" spans="1:21" s="42" customFormat="1">
      <c r="A474" s="5">
        <v>812</v>
      </c>
      <c r="B474" s="28">
        <v>21.709</v>
      </c>
      <c r="C474" s="5" t="s">
        <v>138</v>
      </c>
      <c r="D474" s="5">
        <v>69</v>
      </c>
      <c r="E474" s="5">
        <v>2</v>
      </c>
      <c r="F474" s="24">
        <v>50.576000000000001</v>
      </c>
      <c r="G474" s="24">
        <v>-145.089</v>
      </c>
      <c r="H474" s="5">
        <v>16</v>
      </c>
      <c r="I474" s="25">
        <v>43340.007638888892</v>
      </c>
      <c r="J474" s="26">
        <v>43340.007638888892</v>
      </c>
      <c r="K474" s="7">
        <v>2.2232062200000002</v>
      </c>
      <c r="L474" s="7">
        <v>1.2970441695755541</v>
      </c>
      <c r="M474" s="7">
        <v>8.1955655300003941E-2</v>
      </c>
      <c r="N474" s="6">
        <v>744.75549170908607</v>
      </c>
      <c r="O474" s="6">
        <v>49.731130707368862</v>
      </c>
      <c r="P474" s="7">
        <v>5.3045246601367619</v>
      </c>
      <c r="Q474" s="7">
        <v>1.8998610814664527</v>
      </c>
      <c r="R474" s="67">
        <v>3.9505738715431264</v>
      </c>
      <c r="S474" s="7">
        <v>1.4393133556123612</v>
      </c>
      <c r="T474" s="171">
        <f t="shared" si="14"/>
        <v>2.793288141011391</v>
      </c>
      <c r="U474" s="171">
        <f t="shared" si="15"/>
        <v>1.0801727307972211</v>
      </c>
    </row>
    <row r="475" spans="1:21" s="42" customFormat="1">
      <c r="A475" s="5">
        <v>813</v>
      </c>
      <c r="B475" s="28">
        <v>37.625</v>
      </c>
      <c r="C475" s="5" t="s">
        <v>138</v>
      </c>
      <c r="D475" s="5">
        <v>69</v>
      </c>
      <c r="E475" s="5">
        <v>2</v>
      </c>
      <c r="F475" s="24">
        <v>50.576000000000001</v>
      </c>
      <c r="G475" s="24">
        <v>-145.089</v>
      </c>
      <c r="H475" s="5">
        <v>15</v>
      </c>
      <c r="I475" s="25">
        <v>43340.007638888892</v>
      </c>
      <c r="J475" s="26">
        <v>43340.007638888892</v>
      </c>
      <c r="K475" s="7">
        <v>2.2322294999999999</v>
      </c>
      <c r="L475" s="7">
        <v>1.6193154405907939</v>
      </c>
      <c r="M475" s="7">
        <v>9.2399522364300976E-2</v>
      </c>
      <c r="N475" s="6">
        <v>1014.595858709589</v>
      </c>
      <c r="O475" s="6">
        <v>64.249655031508837</v>
      </c>
      <c r="P475" s="7">
        <v>5.3045246601367619</v>
      </c>
      <c r="Q475" s="7">
        <v>1.8998610814664527</v>
      </c>
      <c r="R475" s="67">
        <v>5.3819487525976495</v>
      </c>
      <c r="S475" s="7">
        <v>1.9574886662317403</v>
      </c>
      <c r="T475" s="171">
        <f t="shared" si="14"/>
        <v>3.805354390269867</v>
      </c>
      <c r="U475" s="171">
        <f t="shared" si="15"/>
        <v>1.4693317870421971</v>
      </c>
    </row>
    <row r="476" spans="1:21" s="42" customFormat="1">
      <c r="A476" s="5">
        <v>814</v>
      </c>
      <c r="B476" s="28">
        <v>52.325000000000003</v>
      </c>
      <c r="C476" s="5" t="s">
        <v>138</v>
      </c>
      <c r="D476" s="5">
        <v>69</v>
      </c>
      <c r="E476" s="5">
        <v>2</v>
      </c>
      <c r="F476" s="24">
        <v>50.576000000000001</v>
      </c>
      <c r="G476" s="24">
        <v>-145.089</v>
      </c>
      <c r="H476" s="5">
        <v>14</v>
      </c>
      <c r="I476" s="25">
        <v>43340.007638888892</v>
      </c>
      <c r="J476" s="26">
        <v>43340.007638888892</v>
      </c>
      <c r="K476" s="7">
        <v>2.2339272600000002</v>
      </c>
      <c r="L476" s="7">
        <v>1.7632674310771306</v>
      </c>
      <c r="M476" s="7">
        <v>7.5485438500672852E-2</v>
      </c>
      <c r="N476" s="6">
        <v>1216.8940191895249</v>
      </c>
      <c r="O476" s="6">
        <v>71.977060162609334</v>
      </c>
      <c r="P476" s="67">
        <v>5.1325474999999994</v>
      </c>
      <c r="Q476" s="7">
        <v>1.7916777650623124</v>
      </c>
      <c r="R476" s="67">
        <v>6.2457663559561469</v>
      </c>
      <c r="S476" s="7">
        <v>2.2113581219573351</v>
      </c>
      <c r="T476" s="171">
        <f t="shared" si="14"/>
        <v>4.4161242545771193</v>
      </c>
      <c r="U476" s="171">
        <f t="shared" si="15"/>
        <v>1.6650552607223295</v>
      </c>
    </row>
    <row r="477" spans="1:21" s="42" customFormat="1">
      <c r="A477" s="5">
        <v>815</v>
      </c>
      <c r="B477" s="28">
        <v>67.515000000000001</v>
      </c>
      <c r="C477" s="5" t="s">
        <v>138</v>
      </c>
      <c r="D477" s="5">
        <v>69</v>
      </c>
      <c r="E477" s="5">
        <v>2</v>
      </c>
      <c r="F477" s="24">
        <v>50.576000000000001</v>
      </c>
      <c r="G477" s="24">
        <v>-145.089</v>
      </c>
      <c r="H477" s="5">
        <v>13</v>
      </c>
      <c r="I477" s="25">
        <v>43340.007638888892</v>
      </c>
      <c r="J477" s="26">
        <v>43340.007638888892</v>
      </c>
      <c r="K477" s="7">
        <v>2.23998732</v>
      </c>
      <c r="L477" s="7">
        <v>1.9542752603651357</v>
      </c>
      <c r="M477" s="7">
        <v>8.106851212218559E-2</v>
      </c>
      <c r="N477" s="6">
        <v>1332.6603343578131</v>
      </c>
      <c r="O477" s="6">
        <v>79.118094842381055</v>
      </c>
      <c r="P477" s="67">
        <v>4.0130444999999995</v>
      </c>
      <c r="Q477" s="7">
        <v>1.1625945020669923</v>
      </c>
      <c r="R477" s="67">
        <v>5.3480252251627824</v>
      </c>
      <c r="S477" s="7">
        <v>1.5815418390570728</v>
      </c>
      <c r="T477" s="171">
        <f t="shared" si="14"/>
        <v>3.7813684606388196</v>
      </c>
      <c r="U477" s="171">
        <f t="shared" si="15"/>
        <v>1.2209524221667951</v>
      </c>
    </row>
    <row r="478" spans="1:21" s="42" customFormat="1">
      <c r="A478" s="5">
        <v>816</v>
      </c>
      <c r="B478" s="28">
        <v>80.501999999999995</v>
      </c>
      <c r="C478" s="5" t="s">
        <v>138</v>
      </c>
      <c r="D478" s="5">
        <v>69</v>
      </c>
      <c r="E478" s="5">
        <v>2</v>
      </c>
      <c r="F478" s="24">
        <v>50.576000000000001</v>
      </c>
      <c r="G478" s="24">
        <v>-145.089</v>
      </c>
      <c r="H478" s="5">
        <v>12</v>
      </c>
      <c r="I478" s="25">
        <v>43340.007638888892</v>
      </c>
      <c r="J478" s="26">
        <v>43340.007638888892</v>
      </c>
      <c r="K478" s="7">
        <v>2.2433907000000004</v>
      </c>
      <c r="L478" s="7">
        <v>2.273628601711744</v>
      </c>
      <c r="M478" s="7">
        <v>8.8212585317564235E-2</v>
      </c>
      <c r="N478" s="6">
        <v>1319.7039722277698</v>
      </c>
      <c r="O478" s="6">
        <v>87.683046892508557</v>
      </c>
      <c r="P478" s="67">
        <v>3.0559025999999996</v>
      </c>
      <c r="Q478" s="7">
        <v>0.73017028366177317</v>
      </c>
      <c r="R478" s="67">
        <v>4.0328867999611688</v>
      </c>
      <c r="S478" s="7">
        <v>1.0001696047699176</v>
      </c>
      <c r="T478" s="171">
        <f t="shared" si="14"/>
        <v>2.8514882239052279</v>
      </c>
      <c r="U478" s="171">
        <f t="shared" si="15"/>
        <v>0.79794990155901957</v>
      </c>
    </row>
    <row r="479" spans="1:21" s="42" customFormat="1">
      <c r="A479" s="5">
        <v>817</v>
      </c>
      <c r="B479" s="28">
        <v>97.311999999999998</v>
      </c>
      <c r="C479" s="5" t="s">
        <v>138</v>
      </c>
      <c r="D479" s="5">
        <v>69</v>
      </c>
      <c r="E479" s="5">
        <v>2</v>
      </c>
      <c r="F479" s="24">
        <v>50.576000000000001</v>
      </c>
      <c r="G479" s="24">
        <v>-145.089</v>
      </c>
      <c r="H479" s="5">
        <v>11</v>
      </c>
      <c r="I479" s="25">
        <v>43340.007638888892</v>
      </c>
      <c r="J479" s="26">
        <v>43340.007638888892</v>
      </c>
      <c r="K479" s="7">
        <v>2.25158082</v>
      </c>
      <c r="L479" s="7">
        <v>2.4910884940320961</v>
      </c>
      <c r="M479" s="7">
        <v>9.5769384863120616E-2</v>
      </c>
      <c r="N479" s="6">
        <v>1210.3083774687223</v>
      </c>
      <c r="O479" s="6">
        <v>97.988539341171389</v>
      </c>
      <c r="P479" s="67">
        <v>1.817005599999999</v>
      </c>
      <c r="Q479" s="7">
        <v>0.31475514133739507</v>
      </c>
      <c r="R479" s="67">
        <v>2.1991370995875807</v>
      </c>
      <c r="S479" s="7">
        <v>0.42050419764223057</v>
      </c>
      <c r="T479" s="171">
        <f t="shared" si="14"/>
        <v>1.5549193055176913</v>
      </c>
      <c r="U479" s="171">
        <f t="shared" si="15"/>
        <v>0.35920044428895698</v>
      </c>
    </row>
    <row r="480" spans="1:21" s="42" customFormat="1">
      <c r="A480" s="5">
        <v>818</v>
      </c>
      <c r="B480" s="28">
        <v>112.265</v>
      </c>
      <c r="C480" s="5" t="s">
        <v>138</v>
      </c>
      <c r="D480" s="5">
        <v>69</v>
      </c>
      <c r="E480" s="5">
        <v>2</v>
      </c>
      <c r="F480" s="24">
        <v>50.576000000000001</v>
      </c>
      <c r="G480" s="24">
        <v>-145.089</v>
      </c>
      <c r="H480" s="5">
        <v>10</v>
      </c>
      <c r="I480" s="25">
        <v>43340.007638888892</v>
      </c>
      <c r="J480" s="26">
        <v>43340.007638888892</v>
      </c>
      <c r="K480" s="7">
        <v>2.2818025200000003</v>
      </c>
      <c r="L480" s="7">
        <v>2.2666432180490323</v>
      </c>
      <c r="M480" s="7">
        <v>8.8896423113418319E-2</v>
      </c>
      <c r="N480" s="6">
        <v>1216.7190497992333</v>
      </c>
      <c r="O480" s="6">
        <v>104.95236257954392</v>
      </c>
      <c r="P480" s="67">
        <v>1.4926235000000001</v>
      </c>
      <c r="Q480" s="7">
        <v>0.27755737737156755</v>
      </c>
      <c r="R480" s="67">
        <v>1.8161034466280059</v>
      </c>
      <c r="S480" s="7">
        <v>0.37227435234157186</v>
      </c>
      <c r="T480" s="171">
        <f t="shared" si="14"/>
        <v>1.2840919788532916</v>
      </c>
      <c r="U480" s="171">
        <f t="shared" si="15"/>
        <v>0.31143296346690036</v>
      </c>
    </row>
    <row r="481" spans="1:21" s="42" customFormat="1">
      <c r="A481" s="5">
        <v>819</v>
      </c>
      <c r="B481" s="28">
        <v>126.72</v>
      </c>
      <c r="C481" s="5" t="s">
        <v>138</v>
      </c>
      <c r="D481" s="5">
        <v>69</v>
      </c>
      <c r="E481" s="5">
        <v>2</v>
      </c>
      <c r="F481" s="24">
        <v>50.576000000000001</v>
      </c>
      <c r="G481" s="24">
        <v>-145.089</v>
      </c>
      <c r="H481" s="5">
        <v>9</v>
      </c>
      <c r="I481" s="25">
        <v>43340.007638888892</v>
      </c>
      <c r="J481" s="26">
        <v>43340.007638888892</v>
      </c>
      <c r="K481" s="7">
        <v>2.3023721400000001</v>
      </c>
      <c r="L481" s="7">
        <v>2.5046948671479408</v>
      </c>
      <c r="M481" s="7">
        <v>9.5155248654034741E-2</v>
      </c>
      <c r="N481" s="6">
        <v>1118.3434799947265</v>
      </c>
      <c r="O481" s="6">
        <v>114.69818272143463</v>
      </c>
      <c r="P481" s="67">
        <v>1.3466280000000002</v>
      </c>
      <c r="Q481" s="7">
        <v>0.28733518741152003</v>
      </c>
      <c r="R481" s="67">
        <v>1.5059926437783389</v>
      </c>
      <c r="S481" s="7">
        <v>0.35653277661735266</v>
      </c>
      <c r="T481" s="171">
        <f t="shared" si="14"/>
        <v>1.0648253972968402</v>
      </c>
      <c r="U481" s="171">
        <f t="shared" si="15"/>
        <v>0.28740381105813678</v>
      </c>
    </row>
    <row r="482" spans="1:21" s="42" customFormat="1">
      <c r="A482" s="5">
        <v>820</v>
      </c>
      <c r="B482" s="28">
        <v>146.078</v>
      </c>
      <c r="C482" s="5" t="s">
        <v>138</v>
      </c>
      <c r="D482" s="5">
        <v>69</v>
      </c>
      <c r="E482" s="5">
        <v>2</v>
      </c>
      <c r="F482" s="24">
        <v>50.576000000000001</v>
      </c>
      <c r="G482" s="24">
        <v>-145.089</v>
      </c>
      <c r="H482" s="5">
        <v>8</v>
      </c>
      <c r="I482" s="25">
        <v>43340.007638888892</v>
      </c>
      <c r="J482" s="26">
        <v>43340.007638888892</v>
      </c>
      <c r="K482" s="7">
        <v>2.3240264400000004</v>
      </c>
      <c r="L482" s="7">
        <v>2.4331699829668541</v>
      </c>
      <c r="M482" s="7">
        <v>9.2400586302721827E-2</v>
      </c>
      <c r="N482" s="6">
        <v>1009.2282335828228</v>
      </c>
      <c r="O482" s="6">
        <v>147.27224785094165</v>
      </c>
      <c r="P482" s="67">
        <v>1.1511122</v>
      </c>
      <c r="Q482" s="7">
        <v>0.28788851763338524</v>
      </c>
      <c r="R482" s="67">
        <v>1.161734932261637</v>
      </c>
      <c r="S482" s="7">
        <v>0.33638651636414929</v>
      </c>
      <c r="T482" s="171">
        <f t="shared" si="14"/>
        <v>0.82141494243659219</v>
      </c>
      <c r="U482" s="171">
        <f t="shared" si="15"/>
        <v>0.26059050389656874</v>
      </c>
    </row>
    <row r="483" spans="1:21" s="42" customFormat="1">
      <c r="A483" s="5">
        <v>821</v>
      </c>
      <c r="B483" s="28">
        <v>196.24299999999999</v>
      </c>
      <c r="C483" s="5" t="s">
        <v>138</v>
      </c>
      <c r="D483" s="5">
        <v>69</v>
      </c>
      <c r="E483" s="5">
        <v>2</v>
      </c>
      <c r="F483" s="24">
        <v>50.576000000000001</v>
      </c>
      <c r="G483" s="24">
        <v>-145.089</v>
      </c>
      <c r="H483" s="5">
        <v>7</v>
      </c>
      <c r="I483" s="25">
        <v>43340.007638888892</v>
      </c>
      <c r="J483" s="26">
        <v>43340.007638888892</v>
      </c>
      <c r="K483" s="7">
        <v>2.3367124800000005</v>
      </c>
      <c r="L483" s="7">
        <v>2.5713479800625456</v>
      </c>
      <c r="M483" s="7">
        <v>9.7155775594713945E-2</v>
      </c>
      <c r="N483" s="6">
        <v>754.85121583693569</v>
      </c>
      <c r="O483" s="6">
        <v>181.06230725743271</v>
      </c>
      <c r="P483" s="67">
        <v>1.0334626</v>
      </c>
      <c r="Q483" s="7">
        <v>7.5939218363012498E-2</v>
      </c>
      <c r="R483" s="67">
        <v>0.78011050013200078</v>
      </c>
      <c r="S483" s="7">
        <v>0.19570441819774118</v>
      </c>
      <c r="T483" s="171">
        <f t="shared" si="14"/>
        <v>0.55158401780398014</v>
      </c>
      <c r="U483" s="171">
        <f t="shared" si="15"/>
        <v>0.15575506299483138</v>
      </c>
    </row>
    <row r="484" spans="1:21" s="42" customFormat="1">
      <c r="A484" s="5">
        <v>822</v>
      </c>
      <c r="B484" s="28">
        <v>221.47</v>
      </c>
      <c r="C484" s="5" t="s">
        <v>138</v>
      </c>
      <c r="D484" s="5">
        <v>69</v>
      </c>
      <c r="E484" s="5">
        <v>2</v>
      </c>
      <c r="F484" s="24">
        <v>50.576000000000001</v>
      </c>
      <c r="G484" s="24">
        <v>-145.089</v>
      </c>
      <c r="H484" s="5">
        <v>6</v>
      </c>
      <c r="I484" s="25">
        <v>43340.007638888892</v>
      </c>
      <c r="J484" s="26">
        <v>43340.007638888892</v>
      </c>
      <c r="K484" s="7">
        <v>2.3384023800000002</v>
      </c>
      <c r="L484" s="7">
        <v>2.3734876865304715</v>
      </c>
      <c r="M484" s="7">
        <v>9.1484832730540533E-2</v>
      </c>
      <c r="N484" s="6">
        <v>727.07903867342225</v>
      </c>
      <c r="O484" s="6">
        <v>195.00671085478672</v>
      </c>
      <c r="P484" s="67">
        <v>1.0062709999999999</v>
      </c>
      <c r="Q484" s="7">
        <v>7.558309779097E-2</v>
      </c>
      <c r="R484" s="67">
        <v>0.73163855132494326</v>
      </c>
      <c r="S484" s="7">
        <v>0.2037795245145923</v>
      </c>
      <c r="T484" s="171">
        <f t="shared" si="14"/>
        <v>0.51731149837338464</v>
      </c>
      <c r="U484" s="171">
        <f t="shared" si="15"/>
        <v>0.1589239247889262</v>
      </c>
    </row>
    <row r="485" spans="1:21" s="42" customFormat="1">
      <c r="A485" s="5">
        <v>823</v>
      </c>
      <c r="B485" s="28">
        <v>251.28899999999999</v>
      </c>
      <c r="C485" s="5" t="s">
        <v>138</v>
      </c>
      <c r="D485" s="5">
        <v>69</v>
      </c>
      <c r="E485" s="5">
        <v>2</v>
      </c>
      <c r="F485" s="24">
        <v>50.576000000000001</v>
      </c>
      <c r="G485" s="24">
        <v>-145.089</v>
      </c>
      <c r="H485" s="5">
        <v>5</v>
      </c>
      <c r="I485" s="25">
        <v>43340.007638888892</v>
      </c>
      <c r="J485" s="26">
        <v>43340.007638888892</v>
      </c>
      <c r="K485" s="7">
        <v>2.3420415600000002</v>
      </c>
      <c r="L485" s="7">
        <v>2.7470661383238788</v>
      </c>
      <c r="M485" s="7">
        <v>0.10141404698785429</v>
      </c>
      <c r="N485" s="6">
        <v>402.67977077853089</v>
      </c>
      <c r="O485" s="6">
        <v>211.24707562617826</v>
      </c>
      <c r="P485" s="67">
        <v>0.98539770000000004</v>
      </c>
      <c r="Q485" s="7">
        <v>9.6963832326969299E-2</v>
      </c>
      <c r="R485" s="67">
        <v>0.39679971996169155</v>
      </c>
      <c r="S485" s="7">
        <v>0.21179263132147419</v>
      </c>
      <c r="T485" s="171">
        <f t="shared" si="14"/>
        <v>0.28056074589808727</v>
      </c>
      <c r="U485" s="171">
        <f t="shared" si="15"/>
        <v>0.15410265598670653</v>
      </c>
    </row>
    <row r="486" spans="1:21" s="42" customFormat="1">
      <c r="A486" s="5">
        <v>824</v>
      </c>
      <c r="B486" s="28">
        <v>277.16800000000001</v>
      </c>
      <c r="C486" s="5" t="s">
        <v>138</v>
      </c>
      <c r="D486" s="5">
        <v>69</v>
      </c>
      <c r="E486" s="5">
        <v>2</v>
      </c>
      <c r="F486" s="24">
        <v>50.576000000000001</v>
      </c>
      <c r="G486" s="24">
        <v>-145.089</v>
      </c>
      <c r="H486" s="5">
        <v>4</v>
      </c>
      <c r="I486" s="25">
        <v>43340.007638888892</v>
      </c>
      <c r="J486" s="26">
        <v>43340.007638888892</v>
      </c>
      <c r="K486" s="7">
        <v>2.3434249200000004</v>
      </c>
      <c r="L486" s="7">
        <v>2.1637012802345321</v>
      </c>
      <c r="M486" s="7">
        <v>0.11582261999063828</v>
      </c>
      <c r="N486" s="6">
        <v>533.19328073981626</v>
      </c>
      <c r="O486" s="6">
        <v>227.37565671044541</v>
      </c>
      <c r="P486" s="67">
        <v>0.96728239999999999</v>
      </c>
      <c r="Q486" s="7">
        <v>0.1147315012235392</v>
      </c>
      <c r="R486" s="67">
        <v>0.51574847625788323</v>
      </c>
      <c r="S486" s="7">
        <v>0.22828560519136959</v>
      </c>
      <c r="T486" s="171">
        <f t="shared" si="14"/>
        <v>0.36466451440208525</v>
      </c>
      <c r="U486" s="171">
        <f t="shared" si="15"/>
        <v>0.16819050935353241</v>
      </c>
    </row>
    <row r="487" spans="1:21" s="42" customFormat="1">
      <c r="A487" s="5">
        <v>825</v>
      </c>
      <c r="B487" s="28">
        <v>301.78899999999999</v>
      </c>
      <c r="C487" s="5" t="s">
        <v>138</v>
      </c>
      <c r="D487" s="5">
        <v>69</v>
      </c>
      <c r="E487" s="5">
        <v>2</v>
      </c>
      <c r="F487" s="24">
        <v>50.576000000000001</v>
      </c>
      <c r="G487" s="24">
        <v>-145.089</v>
      </c>
      <c r="H487" s="5">
        <v>3</v>
      </c>
      <c r="I487" s="25">
        <v>43340.007638888892</v>
      </c>
      <c r="J487" s="26">
        <v>43340.007638888892</v>
      </c>
      <c r="K487" s="7">
        <v>2.3461995000000004</v>
      </c>
      <c r="L487" s="7">
        <v>2.2962210611410327</v>
      </c>
      <c r="M487" s="7">
        <v>0.11801224777967499</v>
      </c>
      <c r="N487" s="6">
        <v>571.68487712433193</v>
      </c>
      <c r="O487" s="6">
        <v>244.86825299499696</v>
      </c>
      <c r="P487" s="67">
        <v>0.95004770000000005</v>
      </c>
      <c r="Q487" s="7">
        <v>0.13095572357566929</v>
      </c>
      <c r="R487" s="67">
        <v>0.54312790263675426</v>
      </c>
      <c r="S487" s="7">
        <v>0.24438612854496683</v>
      </c>
      <c r="T487" s="171">
        <f t="shared" si="14"/>
        <v>0.38402337959447858</v>
      </c>
      <c r="U487" s="171">
        <f t="shared" si="15"/>
        <v>0.17982267985799244</v>
      </c>
    </row>
    <row r="488" spans="1:21" s="42" customFormat="1">
      <c r="A488" s="5">
        <v>826</v>
      </c>
      <c r="B488" s="28">
        <v>330.726</v>
      </c>
      <c r="C488" s="5" t="s">
        <v>138</v>
      </c>
      <c r="D488" s="5">
        <v>69</v>
      </c>
      <c r="E488" s="5">
        <v>2</v>
      </c>
      <c r="F488" s="24">
        <v>50.576000000000001</v>
      </c>
      <c r="G488" s="24">
        <v>-145.089</v>
      </c>
      <c r="H488" s="5">
        <v>2</v>
      </c>
      <c r="I488" s="25">
        <v>43340.007638888892</v>
      </c>
      <c r="J488" s="26">
        <v>43340.007638888892</v>
      </c>
      <c r="K488" s="7">
        <v>2.3494456800000001</v>
      </c>
      <c r="L488" s="7">
        <v>2.392677452837443</v>
      </c>
      <c r="M488" s="7">
        <v>8.7012047269254295E-2</v>
      </c>
      <c r="N488" s="6">
        <v>448.0217051687215</v>
      </c>
      <c r="O488" s="6">
        <v>349.15517993463783</v>
      </c>
      <c r="P488" s="67">
        <v>0.92970960000000002</v>
      </c>
      <c r="Q488" s="7">
        <v>0.14893747532552162</v>
      </c>
      <c r="R488" s="67">
        <v>0.41653008030373001</v>
      </c>
      <c r="S488" s="7">
        <v>0.33140016849405929</v>
      </c>
      <c r="T488" s="171">
        <f t="shared" si="14"/>
        <v>0.29451127140484612</v>
      </c>
      <c r="U488" s="171">
        <f t="shared" si="15"/>
        <v>0.23740892952860809</v>
      </c>
    </row>
    <row r="489" spans="1:21" s="42" customFormat="1">
      <c r="A489" s="5">
        <v>827</v>
      </c>
      <c r="B489" s="28">
        <v>500.709</v>
      </c>
      <c r="C489" s="5" t="s">
        <v>138</v>
      </c>
      <c r="D489" s="5">
        <v>69</v>
      </c>
      <c r="E489" s="5">
        <v>2</v>
      </c>
      <c r="F489" s="24">
        <v>50.576000000000001</v>
      </c>
      <c r="G489" s="24">
        <v>-145.089</v>
      </c>
      <c r="H489" s="5">
        <v>1</v>
      </c>
      <c r="I489" s="25">
        <v>43340.007638888892</v>
      </c>
      <c r="J489" s="26">
        <v>43340.007638888892</v>
      </c>
      <c r="K489" s="7">
        <v>2.3649063000000003</v>
      </c>
      <c r="L489" s="7">
        <v>2.2074385462669475</v>
      </c>
      <c r="M489" s="7">
        <v>8.917724209820671E-2</v>
      </c>
      <c r="N489" s="6">
        <v>832.92888137746604</v>
      </c>
      <c r="O489" s="6">
        <v>411.61268959294813</v>
      </c>
      <c r="P489" s="68">
        <v>0.87680272990205399</v>
      </c>
      <c r="Q489" s="7">
        <v>0.15828163628098546</v>
      </c>
      <c r="R489" s="67">
        <v>0.73031431700602623</v>
      </c>
      <c r="S489" s="7">
        <v>0.38422930007487671</v>
      </c>
      <c r="T489" s="171">
        <f t="shared" si="14"/>
        <v>0.5163751868046792</v>
      </c>
      <c r="U489" s="171">
        <f t="shared" si="15"/>
        <v>0.27979704516219828</v>
      </c>
    </row>
    <row r="490" spans="1:21" s="42" customFormat="1">
      <c r="A490" s="5">
        <v>838</v>
      </c>
      <c r="B490" s="28">
        <v>6.0089999999999897</v>
      </c>
      <c r="C490" s="5" t="s">
        <v>129</v>
      </c>
      <c r="D490" s="5">
        <v>75</v>
      </c>
      <c r="E490" s="5">
        <v>2</v>
      </c>
      <c r="F490" s="24">
        <v>50.576000000000001</v>
      </c>
      <c r="G490" s="24">
        <v>-144.92699999999999</v>
      </c>
      <c r="H490" s="5">
        <v>24</v>
      </c>
      <c r="I490" s="25">
        <v>43340.636111111111</v>
      </c>
      <c r="J490" s="26">
        <v>43340.636111111111</v>
      </c>
      <c r="K490" s="7">
        <v>2.2234027200000002</v>
      </c>
      <c r="L490" s="7">
        <v>1.3253246044482645</v>
      </c>
      <c r="M490" s="7">
        <v>5.8645963415714729E-2</v>
      </c>
      <c r="N490" s="6">
        <v>278.65321695935586</v>
      </c>
      <c r="O490" s="6">
        <v>18.196508838688196</v>
      </c>
      <c r="P490" s="7">
        <v>5.3045246601367619</v>
      </c>
      <c r="Q490" s="7">
        <v>1.8998610814664527</v>
      </c>
      <c r="R490" s="67">
        <v>1.4781228609873427</v>
      </c>
      <c r="S490" s="7">
        <v>0.53812986639730398</v>
      </c>
      <c r="T490" s="171">
        <f t="shared" si="14"/>
        <v>1.0451198212732118</v>
      </c>
      <c r="U490" s="171">
        <f t="shared" si="15"/>
        <v>0.40388783542503659</v>
      </c>
    </row>
    <row r="491" spans="1:21" s="42" customFormat="1">
      <c r="A491" s="5">
        <v>837</v>
      </c>
      <c r="B491" s="28">
        <v>15.568</v>
      </c>
      <c r="C491" s="5" t="s">
        <v>129</v>
      </c>
      <c r="D491" s="5">
        <v>75</v>
      </c>
      <c r="E491" s="5">
        <v>2</v>
      </c>
      <c r="F491" s="24">
        <v>50.576000000000001</v>
      </c>
      <c r="G491" s="24">
        <v>-144.92699999999999</v>
      </c>
      <c r="H491" s="5">
        <v>20</v>
      </c>
      <c r="I491" s="25">
        <v>43340.636111111111</v>
      </c>
      <c r="J491" s="26">
        <v>43340.636111111111</v>
      </c>
      <c r="K491" s="7">
        <v>2.2234184400000001</v>
      </c>
      <c r="L491" s="7">
        <v>1.5192285141899433</v>
      </c>
      <c r="M491" s="7">
        <v>6.4188560801364411E-2</v>
      </c>
      <c r="N491" s="6">
        <v>467.98373439583565</v>
      </c>
      <c r="O491" s="6">
        <v>25.078850410198623</v>
      </c>
      <c r="P491" s="7">
        <v>5.3045246601367619</v>
      </c>
      <c r="Q491" s="7">
        <v>1.8998610814664527</v>
      </c>
      <c r="R491" s="67">
        <v>2.4824312596456029</v>
      </c>
      <c r="S491" s="7">
        <v>0.89900134588534597</v>
      </c>
      <c r="T491" s="171">
        <f t="shared" si="14"/>
        <v>1.7552249429867002</v>
      </c>
      <c r="U491" s="171">
        <f t="shared" si="15"/>
        <v>0.67513910906084906</v>
      </c>
    </row>
    <row r="492" spans="1:21" s="42" customFormat="1">
      <c r="A492" s="5">
        <v>836</v>
      </c>
      <c r="B492" s="28">
        <v>24.706</v>
      </c>
      <c r="C492" s="5" t="s">
        <v>129</v>
      </c>
      <c r="D492" s="5">
        <v>75</v>
      </c>
      <c r="E492" s="5">
        <v>2</v>
      </c>
      <c r="F492" s="24">
        <v>50.576000000000001</v>
      </c>
      <c r="G492" s="24">
        <v>-144.92699999999999</v>
      </c>
      <c r="H492" s="5">
        <v>17</v>
      </c>
      <c r="I492" s="25">
        <v>43340.636111111111</v>
      </c>
      <c r="J492" s="26">
        <v>43340.636111111111</v>
      </c>
      <c r="K492" s="7">
        <v>2.2235992200000001</v>
      </c>
      <c r="L492" s="7">
        <v>1.4955546493208576</v>
      </c>
      <c r="M492" s="7">
        <v>6.9898728312829644E-2</v>
      </c>
      <c r="N492" s="6">
        <v>778.67011516667515</v>
      </c>
      <c r="O492" s="6">
        <v>38.970460484280906</v>
      </c>
      <c r="P492" s="7">
        <v>5.3045246601367619</v>
      </c>
      <c r="Q492" s="7">
        <v>1.8998610814664527</v>
      </c>
      <c r="R492" s="67">
        <v>4.1304748280131607</v>
      </c>
      <c r="S492" s="7">
        <v>1.4937382653438716</v>
      </c>
      <c r="T492" s="171">
        <f t="shared" si="14"/>
        <v>2.9204887008804477</v>
      </c>
      <c r="U492" s="171">
        <f t="shared" si="15"/>
        <v>1.1219580854248474</v>
      </c>
    </row>
    <row r="493" spans="1:21" s="42" customFormat="1">
      <c r="A493" s="5">
        <v>834</v>
      </c>
      <c r="B493" s="28">
        <v>45.244</v>
      </c>
      <c r="C493" s="5" t="s">
        <v>129</v>
      </c>
      <c r="D493" s="5">
        <v>75</v>
      </c>
      <c r="E493" s="5">
        <v>2</v>
      </c>
      <c r="F493" s="24">
        <v>50.576000000000001</v>
      </c>
      <c r="G493" s="24">
        <v>-144.92699999999999</v>
      </c>
      <c r="H493" s="5">
        <v>14</v>
      </c>
      <c r="I493" s="25">
        <v>43340.636111111111</v>
      </c>
      <c r="J493" s="26">
        <v>43340.636111111111</v>
      </c>
      <c r="K493" s="7">
        <v>2.2382895600000001</v>
      </c>
      <c r="L493" s="7">
        <v>1.63358304026366</v>
      </c>
      <c r="M493" s="7">
        <v>6.721259693333155E-2</v>
      </c>
      <c r="N493" s="6">
        <v>1224.3758766278872</v>
      </c>
      <c r="O493" s="6">
        <v>63.030856290128085</v>
      </c>
      <c r="P493" s="7">
        <v>5.3045246601367619</v>
      </c>
      <c r="Q493" s="7">
        <v>1.8998610814664527</v>
      </c>
      <c r="R493" s="67">
        <v>6.4947320308491934</v>
      </c>
      <c r="S493" s="7">
        <v>2.3500500721626172</v>
      </c>
      <c r="T493" s="171">
        <f t="shared" si="14"/>
        <v>4.5921576334760701</v>
      </c>
      <c r="U493" s="171">
        <f t="shared" si="15"/>
        <v>1.7650287235275151</v>
      </c>
    </row>
    <row r="494" spans="1:21" s="42" customFormat="1">
      <c r="A494" s="5">
        <v>835</v>
      </c>
      <c r="B494" s="28">
        <v>75.962000000000003</v>
      </c>
      <c r="C494" s="5" t="s">
        <v>129</v>
      </c>
      <c r="D494" s="5">
        <v>75</v>
      </c>
      <c r="E494" s="5">
        <v>2</v>
      </c>
      <c r="F494" s="24">
        <v>50.576000000000001</v>
      </c>
      <c r="G494" s="24">
        <v>-144.92699999999999</v>
      </c>
      <c r="H494" s="5">
        <v>11</v>
      </c>
      <c r="I494" s="25">
        <v>43340.636111111111</v>
      </c>
      <c r="J494" s="26">
        <v>43340.636111111111</v>
      </c>
      <c r="K494" s="7">
        <v>2.2444282200000001</v>
      </c>
      <c r="L494" s="7">
        <v>2.3144865270625856</v>
      </c>
      <c r="M494" s="7">
        <v>8.6188877519359303E-2</v>
      </c>
      <c r="N494" s="6">
        <v>1174.4401747011459</v>
      </c>
      <c r="O494" s="6">
        <v>88.016589804536551</v>
      </c>
      <c r="P494" s="67">
        <v>3.3905005999999984</v>
      </c>
      <c r="Q494" s="7">
        <v>0.87028909366172469</v>
      </c>
      <c r="R494" s="67">
        <v>3.9819401169883379</v>
      </c>
      <c r="S494" s="7">
        <v>1.0647761011531323</v>
      </c>
      <c r="T494" s="171">
        <f t="shared" si="14"/>
        <v>2.8154659218298366</v>
      </c>
      <c r="U494" s="171">
        <f t="shared" si="15"/>
        <v>0.83665369798179801</v>
      </c>
    </row>
    <row r="495" spans="1:21" s="42" customFormat="1">
      <c r="A495" s="5">
        <v>833</v>
      </c>
      <c r="B495" s="28">
        <v>94.811000000000007</v>
      </c>
      <c r="C495" s="5" t="s">
        <v>129</v>
      </c>
      <c r="D495" s="5">
        <v>75</v>
      </c>
      <c r="E495" s="5">
        <v>2</v>
      </c>
      <c r="F495" s="24">
        <v>50.576000000000001</v>
      </c>
      <c r="G495" s="24">
        <v>-144.92699999999999</v>
      </c>
      <c r="H495" s="5">
        <v>10</v>
      </c>
      <c r="I495" s="25">
        <v>43340.636111111111</v>
      </c>
      <c r="J495" s="26">
        <v>43340.636111111111</v>
      </c>
      <c r="K495" s="7">
        <v>2.2533178800000004</v>
      </c>
      <c r="L495" s="7">
        <v>2.1791732453769663</v>
      </c>
      <c r="M495" s="7">
        <v>8.8236860282208215E-2</v>
      </c>
      <c r="N495" s="6">
        <v>1210.6120706724437</v>
      </c>
      <c r="O495" s="6">
        <v>97.979350856002014</v>
      </c>
      <c r="P495" s="67">
        <v>2.0013292999999983</v>
      </c>
      <c r="Q495" s="7">
        <v>0.36625086895266895</v>
      </c>
      <c r="R495" s="67">
        <v>2.4228334079704301</v>
      </c>
      <c r="S495" s="7">
        <v>0.48481289935802035</v>
      </c>
      <c r="T495" s="171">
        <f t="shared" si="14"/>
        <v>1.7130857556870611</v>
      </c>
      <c r="U495" s="171">
        <f t="shared" si="15"/>
        <v>0.40843115224742693</v>
      </c>
    </row>
    <row r="496" spans="1:21" s="42" customFormat="1">
      <c r="A496" s="5">
        <v>832</v>
      </c>
      <c r="B496" s="28">
        <v>109.887999999999</v>
      </c>
      <c r="C496" s="5" t="s">
        <v>129</v>
      </c>
      <c r="D496" s="5">
        <v>75</v>
      </c>
      <c r="E496" s="5">
        <v>2</v>
      </c>
      <c r="F496" s="24">
        <v>50.576000000000001</v>
      </c>
      <c r="G496" s="24">
        <v>-144.92699999999999</v>
      </c>
      <c r="H496" s="5">
        <v>7</v>
      </c>
      <c r="I496" s="25">
        <v>43340.636111111111</v>
      </c>
      <c r="J496" s="26">
        <v>43340.636111111111</v>
      </c>
      <c r="K496" s="7">
        <v>2.2756638599999999</v>
      </c>
      <c r="L496" s="7">
        <v>2.5947602055548837</v>
      </c>
      <c r="M496" s="7">
        <v>9.3806635285114168E-2</v>
      </c>
      <c r="N496" s="6">
        <v>1072.5134010769552</v>
      </c>
      <c r="O496" s="6">
        <v>106.05717735254002</v>
      </c>
      <c r="P496" s="67">
        <v>1.5166312000000102</v>
      </c>
      <c r="Q496" s="7">
        <v>0.27518292773592218</v>
      </c>
      <c r="R496" s="67">
        <v>1.6266072864914347</v>
      </c>
      <c r="S496" s="7">
        <v>0.3361230032788658</v>
      </c>
      <c r="T496" s="171">
        <f t="shared" si="14"/>
        <v>1.1501070455023492</v>
      </c>
      <c r="U496" s="171">
        <f t="shared" si="15"/>
        <v>0.28054829131868325</v>
      </c>
    </row>
    <row r="497" spans="1:21" s="42" customFormat="1">
      <c r="A497" s="5">
        <v>831</v>
      </c>
      <c r="B497" s="28">
        <v>124.907</v>
      </c>
      <c r="C497" s="5" t="s">
        <v>129</v>
      </c>
      <c r="D497" s="5">
        <v>75</v>
      </c>
      <c r="E497" s="5">
        <v>2</v>
      </c>
      <c r="F497" s="24">
        <v>50.576000000000001</v>
      </c>
      <c r="G497" s="24">
        <v>-144.92699999999999</v>
      </c>
      <c r="H497" s="5">
        <v>6</v>
      </c>
      <c r="I497" s="25">
        <v>43340.636111111111</v>
      </c>
      <c r="J497" s="26">
        <v>43340.636111111111</v>
      </c>
      <c r="K497" s="7">
        <v>2.3073396600000002</v>
      </c>
      <c r="L497" s="7">
        <v>2.1918373794324726</v>
      </c>
      <c r="M497" s="7">
        <v>8.9679821270511925E-2</v>
      </c>
      <c r="N497" s="6">
        <v>1140.5481205877663</v>
      </c>
      <c r="O497" s="6">
        <v>118.48436470436781</v>
      </c>
      <c r="P497" s="67">
        <v>1.3649393000000001</v>
      </c>
      <c r="Q497" s="7">
        <v>0.2865479573060547</v>
      </c>
      <c r="R497" s="67">
        <v>1.5567789533313814</v>
      </c>
      <c r="S497" s="7">
        <v>0.3646465234202515</v>
      </c>
      <c r="T497" s="171">
        <f t="shared" si="14"/>
        <v>1.1007343059296093</v>
      </c>
      <c r="U497" s="171">
        <f t="shared" si="15"/>
        <v>0.29467424564713418</v>
      </c>
    </row>
    <row r="498" spans="1:21" s="42" customFormat="1">
      <c r="A498" s="5">
        <v>830</v>
      </c>
      <c r="B498" s="28">
        <v>150.85</v>
      </c>
      <c r="C498" s="5" t="s">
        <v>129</v>
      </c>
      <c r="D498" s="5">
        <v>75</v>
      </c>
      <c r="E498" s="5">
        <v>2</v>
      </c>
      <c r="F498" s="24">
        <v>50.576000000000001</v>
      </c>
      <c r="G498" s="24">
        <v>-144.92699999999999</v>
      </c>
      <c r="H498" s="5">
        <v>5</v>
      </c>
      <c r="I498" s="25">
        <v>43340.636111111111</v>
      </c>
      <c r="J498" s="26">
        <v>43340.636111111111</v>
      </c>
      <c r="K498" s="7">
        <v>2.3298192599999998</v>
      </c>
      <c r="L498" s="7">
        <v>2.3088656697681538</v>
      </c>
      <c r="M498" s="7">
        <v>9.08311038579417E-2</v>
      </c>
      <c r="N498" s="6">
        <v>1162.1519346693226</v>
      </c>
      <c r="O498" s="6">
        <v>151.02588688989417</v>
      </c>
      <c r="P498" s="67">
        <v>1.11517</v>
      </c>
      <c r="Q498" s="7">
        <v>0.28351557950100009</v>
      </c>
      <c r="R498" s="67">
        <v>1.2959969729851883</v>
      </c>
      <c r="S498" s="7">
        <v>0.37003729693790655</v>
      </c>
      <c r="T498" s="171">
        <f t="shared" si="14"/>
        <v>0.91634610391734017</v>
      </c>
      <c r="U498" s="171">
        <f t="shared" si="15"/>
        <v>0.28733874176989932</v>
      </c>
    </row>
    <row r="499" spans="1:21" s="42" customFormat="1">
      <c r="A499" s="5">
        <v>829</v>
      </c>
      <c r="B499" s="28">
        <v>196.60599999999999</v>
      </c>
      <c r="C499" s="5" t="s">
        <v>129</v>
      </c>
      <c r="D499" s="5">
        <v>75</v>
      </c>
      <c r="E499" s="5">
        <v>2</v>
      </c>
      <c r="F499" s="24">
        <v>50.576000000000001</v>
      </c>
      <c r="G499" s="24">
        <v>-144.92699999999999</v>
      </c>
      <c r="H499" s="5">
        <v>3</v>
      </c>
      <c r="I499" s="25">
        <v>43340.636111111111</v>
      </c>
      <c r="J499" s="26">
        <v>43340.636111111111</v>
      </c>
      <c r="K499" s="7">
        <v>2.3353998600000003</v>
      </c>
      <c r="L499" s="7">
        <v>2.6217410996383954</v>
      </c>
      <c r="M499" s="7">
        <v>9.576732175842835E-2</v>
      </c>
      <c r="N499" s="6">
        <v>419.25276585135919</v>
      </c>
      <c r="O499" s="6">
        <v>290.76301799095671</v>
      </c>
      <c r="P499" s="67">
        <v>1.0328092</v>
      </c>
      <c r="Q499" s="7">
        <v>7.4398315703553722E-2</v>
      </c>
      <c r="R499" s="67">
        <v>0.43300811369672959</v>
      </c>
      <c r="S499" s="7">
        <v>0.30191827663444681</v>
      </c>
      <c r="T499" s="171">
        <f t="shared" si="14"/>
        <v>0.30616221042294794</v>
      </c>
      <c r="U499" s="171">
        <f t="shared" si="15"/>
        <v>0.21713163048214623</v>
      </c>
    </row>
    <row r="500" spans="1:21" s="42" customFormat="1">
      <c r="A500" s="5">
        <v>828</v>
      </c>
      <c r="B500" s="28">
        <v>331.27099999999899</v>
      </c>
      <c r="C500" s="5" t="s">
        <v>129</v>
      </c>
      <c r="D500" s="5">
        <v>75</v>
      </c>
      <c r="E500" s="5">
        <v>2</v>
      </c>
      <c r="F500" s="24">
        <v>50.576000000000001</v>
      </c>
      <c r="G500" s="24">
        <v>-144.92699999999999</v>
      </c>
      <c r="H500" s="5">
        <v>2</v>
      </c>
      <c r="I500" s="25">
        <v>43340.636111111111</v>
      </c>
      <c r="J500" s="26">
        <v>43340.636111111111</v>
      </c>
      <c r="K500" s="7">
        <v>2.3496893399999998</v>
      </c>
      <c r="L500" s="7">
        <v>2.377024332800505</v>
      </c>
      <c r="M500" s="7">
        <v>8.8065637528323193E-2</v>
      </c>
      <c r="N500" s="6">
        <v>366.31902518855691</v>
      </c>
      <c r="O500" s="6">
        <v>337.08485583041653</v>
      </c>
      <c r="P500" s="67">
        <v>0.92949160000000042</v>
      </c>
      <c r="Q500" s="7">
        <v>0.14896384751865555</v>
      </c>
      <c r="R500" s="67">
        <v>0.3404904568329522</v>
      </c>
      <c r="S500" s="7">
        <v>0.31803392985802237</v>
      </c>
      <c r="T500" s="171">
        <f t="shared" si="14"/>
        <v>0.24074678416974735</v>
      </c>
      <c r="U500" s="171">
        <f t="shared" si="15"/>
        <v>0.22702378232739542</v>
      </c>
    </row>
    <row r="501" spans="1:21" s="42" customFormat="1">
      <c r="A501" s="5" t="s">
        <v>158</v>
      </c>
      <c r="B501" s="28">
        <v>26.581999999999901</v>
      </c>
      <c r="C501" s="5" t="s">
        <v>127</v>
      </c>
      <c r="D501" s="5">
        <v>77</v>
      </c>
      <c r="E501" s="5">
        <v>2</v>
      </c>
      <c r="F501" s="24">
        <v>50.628999999999998</v>
      </c>
      <c r="G501" s="24">
        <v>-145.00700000000001</v>
      </c>
      <c r="H501" s="5">
        <v>16</v>
      </c>
      <c r="I501" s="25">
        <v>43340.970138888886</v>
      </c>
      <c r="J501" s="26">
        <v>43340.970138888886</v>
      </c>
      <c r="K501" s="7">
        <v>2.2229468400000001</v>
      </c>
      <c r="L501" s="7">
        <v>1.3135875445551219</v>
      </c>
      <c r="M501" s="7">
        <v>1.7379728016661836E-2</v>
      </c>
      <c r="N501" s="6">
        <v>899.02841004586003</v>
      </c>
      <c r="O501" s="6">
        <v>17.182283530961158</v>
      </c>
      <c r="P501" s="7">
        <v>5.3045246601367619</v>
      </c>
      <c r="Q501" s="7">
        <v>1.8998610814664527</v>
      </c>
      <c r="R501" s="67">
        <v>4.7689183712518091</v>
      </c>
      <c r="S501" s="7">
        <v>1.7104591676285825</v>
      </c>
      <c r="T501" s="171">
        <f t="shared" si="14"/>
        <v>3.3719058458374702</v>
      </c>
      <c r="U501" s="171">
        <f t="shared" si="15"/>
        <v>1.2859545220449624</v>
      </c>
    </row>
    <row r="502" spans="1:21" s="42" customFormat="1">
      <c r="A502" s="5" t="s">
        <v>159</v>
      </c>
      <c r="B502" s="28">
        <v>42.168999999999997</v>
      </c>
      <c r="C502" s="5" t="s">
        <v>127</v>
      </c>
      <c r="D502" s="5">
        <v>77</v>
      </c>
      <c r="E502" s="5">
        <v>2</v>
      </c>
      <c r="F502" s="24">
        <v>50.628999999999998</v>
      </c>
      <c r="G502" s="24">
        <v>-145.00700000000001</v>
      </c>
      <c r="H502" s="5">
        <v>14</v>
      </c>
      <c r="I502" s="25">
        <v>43340.970138888886</v>
      </c>
      <c r="J502" s="26">
        <v>43340.970138888886</v>
      </c>
      <c r="K502" s="7">
        <v>2.2364267400000002</v>
      </c>
      <c r="L502" s="7">
        <v>1.658910526889299</v>
      </c>
      <c r="M502" s="7">
        <v>1.0903994763546244E-2</v>
      </c>
      <c r="N502" s="6">
        <v>1145.3120933800985</v>
      </c>
      <c r="O502" s="6">
        <v>17.80038706399565</v>
      </c>
      <c r="P502" s="7">
        <v>5.3045246601367619</v>
      </c>
      <c r="Q502" s="7">
        <v>1.8998610814664527</v>
      </c>
      <c r="R502" s="67">
        <v>6.075336242887591</v>
      </c>
      <c r="S502" s="7">
        <v>2.1779815983446826</v>
      </c>
      <c r="T502" s="171">
        <f t="shared" si="14"/>
        <v>4.2956201381663881</v>
      </c>
      <c r="U502" s="171">
        <f t="shared" si="15"/>
        <v>1.6375374940132625</v>
      </c>
    </row>
    <row r="503" spans="1:21" s="42" customFormat="1">
      <c r="A503" s="5" t="s">
        <v>160</v>
      </c>
      <c r="B503" s="28">
        <v>56.238</v>
      </c>
      <c r="C503" s="5" t="s">
        <v>127</v>
      </c>
      <c r="D503" s="5">
        <v>77</v>
      </c>
      <c r="E503" s="5">
        <v>2</v>
      </c>
      <c r="F503" s="24">
        <v>50.628999999999998</v>
      </c>
      <c r="G503" s="24">
        <v>-145.00700000000001</v>
      </c>
      <c r="H503" s="5">
        <v>10</v>
      </c>
      <c r="I503" s="25">
        <v>43340.970138888886</v>
      </c>
      <c r="J503" s="26">
        <v>43340.970138888886</v>
      </c>
      <c r="K503" s="7">
        <v>2.2594251000000005</v>
      </c>
      <c r="L503" s="7">
        <v>2.1218060549505071</v>
      </c>
      <c r="M503" s="7">
        <v>1.1963742934215607E-2</v>
      </c>
      <c r="N503" s="6">
        <v>1253.2011364894577</v>
      </c>
      <c r="O503" s="6">
        <v>20.120218776103211</v>
      </c>
      <c r="P503" s="67">
        <v>4.8441593999999988</v>
      </c>
      <c r="Q503" s="7">
        <v>1.616910932785885</v>
      </c>
      <c r="R503" s="67">
        <v>6.070706065416088</v>
      </c>
      <c r="S503" s="7">
        <v>2.028657306265345</v>
      </c>
      <c r="T503" s="171">
        <f t="shared" si="14"/>
        <v>4.2923463302988552</v>
      </c>
      <c r="U503" s="171">
        <f t="shared" si="15"/>
        <v>1.5385130933423812</v>
      </c>
    </row>
    <row r="504" spans="1:21" s="42" customFormat="1">
      <c r="A504" s="5" t="s">
        <v>161</v>
      </c>
      <c r="B504" s="28">
        <v>96.686999999999998</v>
      </c>
      <c r="C504" s="5" t="s">
        <v>127</v>
      </c>
      <c r="D504" s="5">
        <v>77</v>
      </c>
      <c r="E504" s="5">
        <v>2</v>
      </c>
      <c r="F504" s="24">
        <v>50.628999999999998</v>
      </c>
      <c r="G504" s="24">
        <v>-145.00700000000001</v>
      </c>
      <c r="H504" s="5">
        <v>8</v>
      </c>
      <c r="I504" s="25">
        <v>43340.970138888886</v>
      </c>
      <c r="J504" s="26">
        <v>43340.970138888886</v>
      </c>
      <c r="K504" s="7">
        <v>2.3176284000000003</v>
      </c>
      <c r="L504" s="7">
        <v>2.249802889198917</v>
      </c>
      <c r="M504" s="7">
        <v>1.3825360796721144E-2</v>
      </c>
      <c r="N504" s="6">
        <v>1341.8245737494199</v>
      </c>
      <c r="O504" s="6">
        <v>27.039941731707451</v>
      </c>
      <c r="P504" s="67">
        <v>1.8630680999999996</v>
      </c>
      <c r="Q504" s="7">
        <v>0.32728613633320763</v>
      </c>
      <c r="R504" s="67">
        <v>2.499910559148641</v>
      </c>
      <c r="S504" s="7">
        <v>0.44204058972623489</v>
      </c>
      <c r="T504" s="171">
        <f t="shared" si="14"/>
        <v>1.7675838360494822</v>
      </c>
      <c r="U504" s="171">
        <f t="shared" si="15"/>
        <v>0.38753600797187793</v>
      </c>
    </row>
    <row r="505" spans="1:21" s="42" customFormat="1">
      <c r="A505" s="5" t="s">
        <v>162</v>
      </c>
      <c r="B505" s="28">
        <v>147.10299999999901</v>
      </c>
      <c r="C505" s="5" t="s">
        <v>127</v>
      </c>
      <c r="D505" s="5">
        <v>77</v>
      </c>
      <c r="E505" s="5">
        <v>2</v>
      </c>
      <c r="F505" s="24">
        <v>50.628999999999998</v>
      </c>
      <c r="G505" s="24">
        <v>-145.00700000000001</v>
      </c>
      <c r="H505" s="5">
        <v>6</v>
      </c>
      <c r="I505" s="25">
        <v>43340.970138888886</v>
      </c>
      <c r="J505" s="26">
        <v>43340.970138888886</v>
      </c>
      <c r="K505" s="7">
        <v>2.3386774800000003</v>
      </c>
      <c r="L505" s="7">
        <v>2.1002474103862325</v>
      </c>
      <c r="M505" s="7">
        <v>1.1826742188972924E-2</v>
      </c>
      <c r="N505" s="6">
        <v>2146.6495797777493</v>
      </c>
      <c r="O505" s="6">
        <v>48.216959440170328</v>
      </c>
      <c r="P505" s="67">
        <v>1.14075970000001</v>
      </c>
      <c r="Q505" s="7">
        <v>0.28751752082504312</v>
      </c>
      <c r="R505" s="67">
        <v>2.4488113306324131</v>
      </c>
      <c r="S505" s="7">
        <v>0.61964545713723795</v>
      </c>
      <c r="T505" s="171">
        <f t="shared" si="14"/>
        <v>1.731453675300594</v>
      </c>
      <c r="U505" s="171">
        <f t="shared" si="15"/>
        <v>0.49226768035493362</v>
      </c>
    </row>
    <row r="506" spans="1:21" s="42" customFormat="1">
      <c r="A506" s="5" t="s">
        <v>163</v>
      </c>
      <c r="B506" s="28">
        <v>331.42399999999998</v>
      </c>
      <c r="C506" s="5" t="s">
        <v>127</v>
      </c>
      <c r="D506" s="5">
        <v>77</v>
      </c>
      <c r="E506" s="5">
        <v>2</v>
      </c>
      <c r="F506" s="24">
        <v>50.628999999999998</v>
      </c>
      <c r="G506" s="24">
        <v>-145.00700000000001</v>
      </c>
      <c r="H506" s="5">
        <v>3</v>
      </c>
      <c r="I506" s="25">
        <v>43340.970138888886</v>
      </c>
      <c r="J506" s="26">
        <v>43340.970138888886</v>
      </c>
      <c r="K506" s="7">
        <v>2.3448554400000003</v>
      </c>
      <c r="L506" s="7">
        <v>2.2119174471140393</v>
      </c>
      <c r="M506" s="7">
        <v>7.3194604912899357E-3</v>
      </c>
      <c r="N506" s="6">
        <v>2822.3446245179107</v>
      </c>
      <c r="O506" s="6">
        <v>60.901196679771324</v>
      </c>
      <c r="P506" s="67">
        <v>0.92943039999999999</v>
      </c>
      <c r="Q506" s="7">
        <v>0.14897124591964159</v>
      </c>
      <c r="R506" s="67">
        <v>2.6231728933035314</v>
      </c>
      <c r="S506" s="7">
        <v>0.42424124310283207</v>
      </c>
      <c r="T506" s="171">
        <f t="shared" si="14"/>
        <v>1.8547375578690795</v>
      </c>
      <c r="U506" s="171">
        <f t="shared" si="15"/>
        <v>0.38442185209927476</v>
      </c>
    </row>
    <row r="507" spans="1:21" s="42" customFormat="1">
      <c r="A507" s="5" t="s">
        <v>164</v>
      </c>
      <c r="B507" s="28">
        <v>500.565</v>
      </c>
      <c r="C507" s="5" t="s">
        <v>127</v>
      </c>
      <c r="D507" s="5">
        <v>77</v>
      </c>
      <c r="E507" s="5">
        <v>2</v>
      </c>
      <c r="F507" s="24">
        <v>50.628999999999998</v>
      </c>
      <c r="G507" s="24">
        <v>-145.00700000000001</v>
      </c>
      <c r="H507" s="5">
        <v>2</v>
      </c>
      <c r="I507" s="25">
        <v>43340.970138888886</v>
      </c>
      <c r="J507" s="26">
        <v>43340.970138888886</v>
      </c>
      <c r="K507" s="7">
        <v>2.3485732200000005</v>
      </c>
      <c r="L507" s="7">
        <v>2.2507973364455247</v>
      </c>
      <c r="M507" s="7">
        <v>1.1144973720831557E-2</v>
      </c>
      <c r="N507" s="6">
        <v>3060.1597806756463</v>
      </c>
      <c r="O507" s="6">
        <v>66.661558543417542</v>
      </c>
      <c r="P507" s="68">
        <v>0.87680272990205399</v>
      </c>
      <c r="Q507" s="7">
        <v>0.15828163628098546</v>
      </c>
      <c r="R507" s="67">
        <v>2.6831564496328775</v>
      </c>
      <c r="S507" s="7">
        <v>0.48788090235255316</v>
      </c>
      <c r="T507" s="171">
        <f t="shared" si="14"/>
        <v>1.897149461050377</v>
      </c>
      <c r="U507" s="171">
        <f t="shared" si="15"/>
        <v>0.42364314552244525</v>
      </c>
    </row>
    <row r="508" spans="1:21" s="42" customFormat="1">
      <c r="A508" s="5">
        <v>861</v>
      </c>
      <c r="B508" s="28">
        <v>7.79</v>
      </c>
      <c r="C508" s="5" t="s">
        <v>124</v>
      </c>
      <c r="D508" s="5">
        <v>100</v>
      </c>
      <c r="E508" s="5">
        <v>3</v>
      </c>
      <c r="F508" s="24">
        <v>50.746000000000002</v>
      </c>
      <c r="G508" s="24">
        <v>-144.87</v>
      </c>
      <c r="H508" s="5">
        <v>13</v>
      </c>
      <c r="I508" s="25">
        <v>43343.496527777781</v>
      </c>
      <c r="J508" s="26">
        <v>43343.496527777781</v>
      </c>
      <c r="K508" s="7">
        <v>2.2235049000000005</v>
      </c>
      <c r="L508" s="7">
        <v>1.508550659135736</v>
      </c>
      <c r="M508" s="7">
        <v>6.5925906057320599E-2</v>
      </c>
      <c r="N508" s="6">
        <v>303.01315038347155</v>
      </c>
      <c r="O508" s="6">
        <v>27.940832216290161</v>
      </c>
      <c r="P508" s="7">
        <v>5.3045246601367619</v>
      </c>
      <c r="Q508" s="7">
        <v>1.8998610814664527</v>
      </c>
      <c r="R508" s="67">
        <v>1.607340728554854</v>
      </c>
      <c r="S508" s="7">
        <v>0.59445591567734457</v>
      </c>
      <c r="T508" s="171">
        <f t="shared" si="14"/>
        <v>1.1364844555819287</v>
      </c>
      <c r="U508" s="171">
        <f t="shared" si="15"/>
        <v>0.44538436434396322</v>
      </c>
    </row>
    <row r="509" spans="1:21" s="42" customFormat="1">
      <c r="A509" s="5">
        <v>862</v>
      </c>
      <c r="B509" s="28">
        <v>21.683</v>
      </c>
      <c r="C509" s="5" t="s">
        <v>124</v>
      </c>
      <c r="D509" s="5">
        <v>100</v>
      </c>
      <c r="E509" s="5">
        <v>3</v>
      </c>
      <c r="F509" s="24">
        <v>50.746000000000002</v>
      </c>
      <c r="G509" s="24">
        <v>-144.87</v>
      </c>
      <c r="H509" s="5">
        <v>12</v>
      </c>
      <c r="I509" s="25">
        <v>43343.496527777781</v>
      </c>
      <c r="J509" s="26">
        <v>43343.496527777781</v>
      </c>
      <c r="K509" s="7">
        <v>2.2234970399999998</v>
      </c>
      <c r="L509" s="7">
        <v>1.4831008270120776</v>
      </c>
      <c r="M509" s="7">
        <v>9.0095623823608459E-2</v>
      </c>
      <c r="N509" s="6">
        <v>606.77978417613758</v>
      </c>
      <c r="O509" s="6">
        <v>46.336068782814543</v>
      </c>
      <c r="P509" s="7">
        <v>5.3045246601367619</v>
      </c>
      <c r="Q509" s="7">
        <v>1.8998610814664527</v>
      </c>
      <c r="R509" s="67">
        <v>3.218678328434784</v>
      </c>
      <c r="S509" s="7">
        <v>1.1787089271205355</v>
      </c>
      <c r="T509" s="171">
        <f t="shared" si="14"/>
        <v>2.2757949343282142</v>
      </c>
      <c r="U509" s="171">
        <f t="shared" si="15"/>
        <v>0.88408611514402768</v>
      </c>
    </row>
    <row r="510" spans="1:21" s="42" customFormat="1">
      <c r="A510" s="5">
        <v>863</v>
      </c>
      <c r="B510" s="28">
        <v>36.320999999999998</v>
      </c>
      <c r="C510" s="5" t="s">
        <v>124</v>
      </c>
      <c r="D510" s="5">
        <v>100</v>
      </c>
      <c r="E510" s="5">
        <v>3</v>
      </c>
      <c r="F510" s="24">
        <v>50.746000000000002</v>
      </c>
      <c r="G510" s="24">
        <v>-144.87</v>
      </c>
      <c r="H510" s="5">
        <v>11</v>
      </c>
      <c r="I510" s="25">
        <v>43343.496527777781</v>
      </c>
      <c r="J510" s="26">
        <v>43343.496527777781</v>
      </c>
      <c r="K510" s="7">
        <v>2.2241965800000005</v>
      </c>
      <c r="L510" s="7">
        <v>1.3730305317225366</v>
      </c>
      <c r="M510" s="7">
        <v>6.2937914574539358E-2</v>
      </c>
      <c r="N510" s="6">
        <v>983.75239185464523</v>
      </c>
      <c r="O510" s="6">
        <v>54.07422450737738</v>
      </c>
      <c r="P510" s="7">
        <v>5.3045246601367619</v>
      </c>
      <c r="Q510" s="7">
        <v>1.8998610814664527</v>
      </c>
      <c r="R510" s="67">
        <v>5.2183388220614892</v>
      </c>
      <c r="S510" s="7">
        <v>1.8908755824165691</v>
      </c>
      <c r="T510" s="171">
        <f t="shared" si="14"/>
        <v>3.6896725441435874</v>
      </c>
      <c r="U510" s="171">
        <f t="shared" si="15"/>
        <v>1.4199327504700898</v>
      </c>
    </row>
    <row r="511" spans="1:21" s="42" customFormat="1">
      <c r="A511" s="5">
        <v>864</v>
      </c>
      <c r="B511" s="28">
        <v>52.481999999999999</v>
      </c>
      <c r="C511" s="5" t="s">
        <v>124</v>
      </c>
      <c r="D511" s="5">
        <v>100</v>
      </c>
      <c r="E511" s="5">
        <v>3</v>
      </c>
      <c r="F511" s="24">
        <v>50.746000000000002</v>
      </c>
      <c r="G511" s="24">
        <v>-144.87</v>
      </c>
      <c r="H511" s="5">
        <v>10</v>
      </c>
      <c r="I511" s="25">
        <v>43343.496527777781</v>
      </c>
      <c r="J511" s="26">
        <v>43343.496527777781</v>
      </c>
      <c r="K511" s="7">
        <v>2.2371498600000002</v>
      </c>
      <c r="L511" s="7">
        <v>1.6469290890305861</v>
      </c>
      <c r="M511" s="7">
        <v>7.0450321463705057E-2</v>
      </c>
      <c r="N511" s="6">
        <v>1248.1595754644304</v>
      </c>
      <c r="O511" s="6">
        <v>62.610519280199782</v>
      </c>
      <c r="P511" s="67">
        <v>5.1209765999999988</v>
      </c>
      <c r="Q511" s="7">
        <v>1.7844957671540285</v>
      </c>
      <c r="R511" s="67">
        <v>6.3917959790192809</v>
      </c>
      <c r="S511" s="7">
        <v>2.2502944279504562</v>
      </c>
      <c r="T511" s="171">
        <f t="shared" si="14"/>
        <v>4.5193757890634965</v>
      </c>
      <c r="U511" s="171">
        <f t="shared" si="15"/>
        <v>1.6955116006103246</v>
      </c>
    </row>
    <row r="512" spans="1:21" s="42" customFormat="1">
      <c r="A512" s="5">
        <v>865</v>
      </c>
      <c r="B512" s="28">
        <v>67.473999999999904</v>
      </c>
      <c r="C512" s="5" t="s">
        <v>124</v>
      </c>
      <c r="D512" s="5">
        <v>100</v>
      </c>
      <c r="E512" s="5">
        <v>3</v>
      </c>
      <c r="F512" s="24">
        <v>50.746000000000002</v>
      </c>
      <c r="G512" s="24">
        <v>-144.87</v>
      </c>
      <c r="H512" s="5">
        <v>9</v>
      </c>
      <c r="I512" s="25">
        <v>43343.496527777781</v>
      </c>
      <c r="J512" s="26">
        <v>43343.496527777781</v>
      </c>
      <c r="K512" s="7">
        <v>2.2389419400000001</v>
      </c>
      <c r="L512" s="7">
        <v>1.9668058760266263</v>
      </c>
      <c r="M512" s="7">
        <v>7.4914587019143081E-2</v>
      </c>
      <c r="N512" s="6">
        <v>1369.5036965952804</v>
      </c>
      <c r="O512" s="6">
        <v>70.96412613625742</v>
      </c>
      <c r="P512" s="67">
        <v>4.0160662000000062</v>
      </c>
      <c r="Q512" s="7">
        <v>1.1641135511496743</v>
      </c>
      <c r="R512" s="67">
        <v>5.5000175066713695</v>
      </c>
      <c r="S512" s="7">
        <v>1.6195311197690831</v>
      </c>
      <c r="T512" s="171">
        <f t="shared" si="14"/>
        <v>3.8888359454316972</v>
      </c>
      <c r="U512" s="171">
        <f t="shared" si="15"/>
        <v>1.251147553568146</v>
      </c>
    </row>
    <row r="513" spans="1:21" s="42" customFormat="1">
      <c r="A513" s="5">
        <v>866</v>
      </c>
      <c r="B513" s="28">
        <v>83.49</v>
      </c>
      <c r="C513" s="5" t="s">
        <v>124</v>
      </c>
      <c r="D513" s="5">
        <v>100</v>
      </c>
      <c r="E513" s="5">
        <v>3</v>
      </c>
      <c r="F513" s="24">
        <v>50.746000000000002</v>
      </c>
      <c r="G513" s="24">
        <v>-144.87</v>
      </c>
      <c r="H513" s="5">
        <v>8</v>
      </c>
      <c r="I513" s="25">
        <v>43343.496527777781</v>
      </c>
      <c r="J513" s="26">
        <v>43343.496527777781</v>
      </c>
      <c r="K513" s="7">
        <v>2.2427068800000001</v>
      </c>
      <c r="L513" s="7">
        <v>2.4699776979316548</v>
      </c>
      <c r="M513" s="7">
        <v>9.3210977966520059E-2</v>
      </c>
      <c r="N513" s="6">
        <v>1219.1326462518687</v>
      </c>
      <c r="O513" s="6">
        <v>94.017740910209881</v>
      </c>
      <c r="P513" s="67">
        <v>2.8356869999999992</v>
      </c>
      <c r="Q513" s="7">
        <v>0.64443139361432999</v>
      </c>
      <c r="R513" s="67">
        <v>3.4570785962520216</v>
      </c>
      <c r="S513" s="7">
        <v>0.82965048302135336</v>
      </c>
      <c r="T513" s="171">
        <f t="shared" si="14"/>
        <v>2.4443579488574718</v>
      </c>
      <c r="U513" s="171">
        <f t="shared" si="15"/>
        <v>0.66671382249677424</v>
      </c>
    </row>
    <row r="514" spans="1:21" s="42" customFormat="1">
      <c r="A514" s="5">
        <v>868</v>
      </c>
      <c r="B514" s="28">
        <v>113.485</v>
      </c>
      <c r="C514" s="5" t="s">
        <v>124</v>
      </c>
      <c r="D514" s="5">
        <v>100</v>
      </c>
      <c r="E514" s="5">
        <v>3</v>
      </c>
      <c r="F514" s="24">
        <v>50.746000000000002</v>
      </c>
      <c r="G514" s="24">
        <v>-144.87</v>
      </c>
      <c r="H514" s="5">
        <v>6</v>
      </c>
      <c r="I514" s="25">
        <v>43343.496527777781</v>
      </c>
      <c r="J514" s="26">
        <v>43343.496527777781</v>
      </c>
      <c r="K514" s="7">
        <v>2.2606434000000002</v>
      </c>
      <c r="L514" s="7">
        <v>2.3380390600268837</v>
      </c>
      <c r="M514" s="7">
        <v>8.4803163878257939E-2</v>
      </c>
      <c r="N514" s="6">
        <v>1169.3136837015836</v>
      </c>
      <c r="O514" s="6">
        <v>108.71563144145813</v>
      </c>
      <c r="P514" s="67">
        <v>1.4803015000000002</v>
      </c>
      <c r="Q514" s="7">
        <v>0.27869198911406756</v>
      </c>
      <c r="R514" s="67">
        <v>1.73093679995398</v>
      </c>
      <c r="S514" s="7">
        <v>0.36344983638903339</v>
      </c>
      <c r="T514" s="171">
        <f t="shared" si="14"/>
        <v>1.2238741492670953</v>
      </c>
      <c r="U514" s="171">
        <f t="shared" si="15"/>
        <v>0.30200515719601539</v>
      </c>
    </row>
    <row r="515" spans="1:21" s="42" customFormat="1">
      <c r="A515" s="5">
        <v>869</v>
      </c>
      <c r="B515" s="28">
        <v>128.25299999999999</v>
      </c>
      <c r="C515" s="5" t="s">
        <v>124</v>
      </c>
      <c r="D515" s="5">
        <v>100</v>
      </c>
      <c r="E515" s="5">
        <v>3</v>
      </c>
      <c r="F515" s="24">
        <v>50.746000000000002</v>
      </c>
      <c r="G515" s="24">
        <v>-144.87</v>
      </c>
      <c r="H515" s="5">
        <v>5</v>
      </c>
      <c r="I515" s="25">
        <v>43343.496527777781</v>
      </c>
      <c r="J515" s="26">
        <v>43343.496527777781</v>
      </c>
      <c r="K515" s="7">
        <v>2.2937890200000002</v>
      </c>
      <c r="L515" s="7">
        <v>2.3733998694314069</v>
      </c>
      <c r="M515" s="7">
        <v>0.12321918860278308</v>
      </c>
      <c r="N515" s="6">
        <v>1129.3336930918981</v>
      </c>
      <c r="O515" s="6">
        <v>125.09274932335906</v>
      </c>
      <c r="P515" s="67">
        <v>1.3311447000000003</v>
      </c>
      <c r="Q515" s="7">
        <v>0.28790255946786275</v>
      </c>
      <c r="R515" s="67">
        <v>1.5033065600907072</v>
      </c>
      <c r="S515" s="7">
        <v>0.36529785114623076</v>
      </c>
      <c r="T515" s="171">
        <f t="shared" si="14"/>
        <v>1.0629261781063142</v>
      </c>
      <c r="U515" s="171">
        <f t="shared" si="15"/>
        <v>0.29273891182607731</v>
      </c>
    </row>
    <row r="516" spans="1:21" s="42" customFormat="1">
      <c r="A516" s="5">
        <v>870</v>
      </c>
      <c r="B516" s="28">
        <v>148.40799999999999</v>
      </c>
      <c r="C516" s="5" t="s">
        <v>124</v>
      </c>
      <c r="D516" s="5">
        <v>100</v>
      </c>
      <c r="E516" s="5">
        <v>3</v>
      </c>
      <c r="F516" s="24">
        <v>50.746000000000002</v>
      </c>
      <c r="G516" s="24">
        <v>-144.87</v>
      </c>
      <c r="H516" s="5">
        <v>4</v>
      </c>
      <c r="I516" s="25">
        <v>43343.496527777781</v>
      </c>
      <c r="J516" s="26">
        <v>43343.496527777781</v>
      </c>
      <c r="K516" s="7">
        <v>2.3181471600000001</v>
      </c>
      <c r="L516" s="7">
        <v>2.2776646016014035</v>
      </c>
      <c r="M516" s="7">
        <v>8.5585606326573471E-2</v>
      </c>
      <c r="N516" s="6">
        <v>1170.0525829988671</v>
      </c>
      <c r="O516" s="6">
        <v>151.85145707344682</v>
      </c>
      <c r="P516" s="67">
        <v>1.1275792000000002</v>
      </c>
      <c r="Q516" s="7">
        <v>0.28698692060529923</v>
      </c>
      <c r="R516" s="67">
        <v>1.3193269554957965</v>
      </c>
      <c r="S516" s="7">
        <v>0.37692522625259067</v>
      </c>
      <c r="T516" s="171">
        <f t="shared" si="14"/>
        <v>0.93284177406447999</v>
      </c>
      <c r="U516" s="171">
        <f t="shared" si="15"/>
        <v>0.29265723633470281</v>
      </c>
    </row>
    <row r="517" spans="1:21" s="42" customFormat="1">
      <c r="A517" s="5">
        <v>871</v>
      </c>
      <c r="B517" s="28">
        <v>198.2</v>
      </c>
      <c r="C517" s="5" t="s">
        <v>124</v>
      </c>
      <c r="D517" s="5">
        <v>100</v>
      </c>
      <c r="E517" s="5">
        <v>3</v>
      </c>
      <c r="F517" s="24">
        <v>50.746000000000002</v>
      </c>
      <c r="G517" s="24">
        <v>-144.87</v>
      </c>
      <c r="H517" s="5">
        <v>3</v>
      </c>
      <c r="I517" s="25">
        <v>43343.496527777781</v>
      </c>
      <c r="J517" s="26">
        <v>43343.496527777781</v>
      </c>
      <c r="K517" s="7">
        <v>2.3383473599999998</v>
      </c>
      <c r="L517" s="7">
        <v>2.6189509033478102</v>
      </c>
      <c r="M517" s="7">
        <v>9.6413429812914633E-2</v>
      </c>
      <c r="N517" s="6">
        <v>426.41981252965252</v>
      </c>
      <c r="O517" s="6">
        <v>297.22503575552054</v>
      </c>
      <c r="P517" s="67">
        <v>1.0299400000000001</v>
      </c>
      <c r="Q517" s="7">
        <v>6.7654286744000119E-2</v>
      </c>
      <c r="R517" s="67">
        <v>0.43918682171679035</v>
      </c>
      <c r="S517" s="7">
        <v>0.30748031969853734</v>
      </c>
      <c r="T517" s="171">
        <f t="shared" si="14"/>
        <v>0.31053092048897846</v>
      </c>
      <c r="U517" s="171">
        <f t="shared" si="15"/>
        <v>0.22110163885114018</v>
      </c>
    </row>
    <row r="518" spans="1:21" s="42" customFormat="1">
      <c r="A518" s="5">
        <v>872</v>
      </c>
      <c r="B518" s="28">
        <v>332.7</v>
      </c>
      <c r="C518" s="5" t="s">
        <v>124</v>
      </c>
      <c r="D518" s="5">
        <v>100</v>
      </c>
      <c r="E518" s="5">
        <v>3</v>
      </c>
      <c r="F518" s="24">
        <v>50.746000000000002</v>
      </c>
      <c r="G518" s="24">
        <v>-144.87</v>
      </c>
      <c r="H518" s="5">
        <v>2</v>
      </c>
      <c r="I518" s="25">
        <v>43343.496527777781</v>
      </c>
      <c r="J518" s="26">
        <v>43343.496527777781</v>
      </c>
      <c r="K518" s="7">
        <v>2.3518586999999997</v>
      </c>
      <c r="L518" s="7">
        <v>2.5606236793032595</v>
      </c>
      <c r="M518" s="7">
        <v>8.9926131512914911E-2</v>
      </c>
      <c r="N518" s="6">
        <v>-484.40524963351163</v>
      </c>
      <c r="O518" s="6">
        <v>492.21322344830025</v>
      </c>
      <c r="P518" s="67">
        <v>0.92892000000000008</v>
      </c>
      <c r="Q518" s="7">
        <v>0.14903285936399999</v>
      </c>
      <c r="R518" s="67">
        <v>-0.44997372448956169</v>
      </c>
      <c r="S518" s="7">
        <v>-0.46289090526136023</v>
      </c>
      <c r="T518" s="171">
        <f t="shared" si="14"/>
        <v>-0.31815789534710348</v>
      </c>
      <c r="U518" s="171">
        <f t="shared" si="15"/>
        <v>-0.32987923012901826</v>
      </c>
    </row>
    <row r="519" spans="1:21" s="42" customFormat="1">
      <c r="A519" s="5">
        <v>873</v>
      </c>
      <c r="B519" s="28">
        <v>501.60199999999998</v>
      </c>
      <c r="C519" s="5" t="s">
        <v>124</v>
      </c>
      <c r="D519" s="5">
        <v>100</v>
      </c>
      <c r="E519" s="5">
        <v>3</v>
      </c>
      <c r="F519" s="24">
        <v>50.746000000000002</v>
      </c>
      <c r="G519" s="24">
        <v>-144.87</v>
      </c>
      <c r="H519" s="5">
        <v>1</v>
      </c>
      <c r="I519" s="25">
        <v>43343.496527777781</v>
      </c>
      <c r="J519" s="26">
        <v>43343.496527777781</v>
      </c>
      <c r="K519" s="7">
        <v>2.3659202400000003</v>
      </c>
      <c r="L519" s="7">
        <v>2.2258505517356557</v>
      </c>
      <c r="M519" s="7">
        <v>8.5757788255084538E-2</v>
      </c>
      <c r="N519" s="6">
        <v>-144.20248362722612</v>
      </c>
      <c r="O519" s="6">
        <v>534.47015602483259</v>
      </c>
      <c r="P519" s="68">
        <v>0.87680272990205399</v>
      </c>
      <c r="Q519" s="7">
        <v>0.15828163628098546</v>
      </c>
      <c r="R519" s="67">
        <v>-0.1264371313030081</v>
      </c>
      <c r="S519" s="7">
        <v>-0.46918040438756614</v>
      </c>
      <c r="T519" s="171">
        <f t="shared" ref="T519:T582" si="16">R519*U$1</f>
        <v>-8.9398490177893947E-2</v>
      </c>
      <c r="U519" s="171">
        <f t="shared" ref="U519:U582" si="17">((((S519/R519)^2+(V$1/U$1)^2))^0.5)*T519</f>
        <v>-0.33194048754501654</v>
      </c>
    </row>
    <row r="520" spans="1:21" s="42" customFormat="1">
      <c r="A520" s="5">
        <v>884</v>
      </c>
      <c r="B520" s="28">
        <v>4.5549999999999997</v>
      </c>
      <c r="C520" s="5" t="s">
        <v>127</v>
      </c>
      <c r="D520" s="5">
        <v>101</v>
      </c>
      <c r="E520" s="5">
        <v>3</v>
      </c>
      <c r="F520" s="24">
        <v>50.643999999999998</v>
      </c>
      <c r="G520" s="24">
        <v>-144.869</v>
      </c>
      <c r="H520" s="5">
        <v>24</v>
      </c>
      <c r="I520" s="25">
        <v>43343.649305555555</v>
      </c>
      <c r="J520" s="26">
        <v>43343.649305555555</v>
      </c>
      <c r="K520" s="7">
        <v>2.2234655999999999</v>
      </c>
      <c r="L520" s="7">
        <v>1.4469416428572828</v>
      </c>
      <c r="M520" s="7">
        <v>8.6268787318725754E-2</v>
      </c>
      <c r="N520" s="6">
        <v>324.94266205802717</v>
      </c>
      <c r="O520" s="6">
        <v>36.099864203819344</v>
      </c>
      <c r="P520" s="7">
        <v>5.3045246601367619</v>
      </c>
      <c r="Q520" s="7">
        <v>1.8998610814664527</v>
      </c>
      <c r="R520" s="67">
        <v>1.7236663640172913</v>
      </c>
      <c r="S520" s="7">
        <v>0.64636321456769952</v>
      </c>
      <c r="T520" s="171">
        <f t="shared" si="16"/>
        <v>1.2187335233372216</v>
      </c>
      <c r="U520" s="171">
        <f t="shared" si="17"/>
        <v>0.48355100018041275</v>
      </c>
    </row>
    <row r="521" spans="1:21" s="42" customFormat="1">
      <c r="A521" s="5">
        <v>883</v>
      </c>
      <c r="B521" s="28">
        <v>24.545000000000002</v>
      </c>
      <c r="C521" s="5" t="s">
        <v>127</v>
      </c>
      <c r="D521" s="5">
        <v>101</v>
      </c>
      <c r="E521" s="5">
        <v>3</v>
      </c>
      <c r="F521" s="24">
        <v>50.643999999999998</v>
      </c>
      <c r="G521" s="24">
        <v>-144.869</v>
      </c>
      <c r="H521" s="5">
        <v>20</v>
      </c>
      <c r="I521" s="25">
        <v>43343.649305555555</v>
      </c>
      <c r="J521" s="26">
        <v>43343.649305555555</v>
      </c>
      <c r="K521" s="7">
        <v>2.2234577400000006</v>
      </c>
      <c r="L521" s="7">
        <v>1.8083989104783322</v>
      </c>
      <c r="M521" s="7">
        <v>6.9435558384929319E-2</v>
      </c>
      <c r="N521" s="6">
        <v>593.51529354956176</v>
      </c>
      <c r="O521" s="6">
        <v>57.635777846532591</v>
      </c>
      <c r="P521" s="7">
        <v>5.3045246601367619</v>
      </c>
      <c r="Q521" s="7">
        <v>1.8998610814664527</v>
      </c>
      <c r="R521" s="67">
        <v>3.1483165108019597</v>
      </c>
      <c r="S521" s="7">
        <v>1.1683086876565782</v>
      </c>
      <c r="T521" s="171">
        <f t="shared" si="16"/>
        <v>2.226044989848122</v>
      </c>
      <c r="U521" s="171">
        <f t="shared" si="17"/>
        <v>0.87500966279888093</v>
      </c>
    </row>
    <row r="522" spans="1:21" s="42" customFormat="1">
      <c r="A522" s="5">
        <v>882</v>
      </c>
      <c r="B522" s="28">
        <v>49.552999999999997</v>
      </c>
      <c r="C522" s="5" t="s">
        <v>127</v>
      </c>
      <c r="D522" s="5">
        <v>101</v>
      </c>
      <c r="E522" s="5">
        <v>3</v>
      </c>
      <c r="F522" s="24">
        <v>50.643999999999998</v>
      </c>
      <c r="G522" s="24">
        <v>-144.869</v>
      </c>
      <c r="H522" s="5">
        <v>17</v>
      </c>
      <c r="I522" s="25">
        <v>43343.649305555555</v>
      </c>
      <c r="J522" s="26">
        <v>43343.649305555555</v>
      </c>
      <c r="K522" s="7">
        <v>2.2376686200000004</v>
      </c>
      <c r="L522" s="7">
        <v>1.6109887116146677</v>
      </c>
      <c r="M522" s="7">
        <v>9.1532529485788966E-2</v>
      </c>
      <c r="N522" s="6">
        <v>958.74874344949046</v>
      </c>
      <c r="O522" s="6">
        <v>78.534434134664906</v>
      </c>
      <c r="P522" s="7">
        <v>5.3045246601367619</v>
      </c>
      <c r="Q522" s="7">
        <v>1.8998610814664527</v>
      </c>
      <c r="R522" s="67">
        <v>5.0857063525029558</v>
      </c>
      <c r="S522" s="7">
        <v>1.8685205790740365</v>
      </c>
      <c r="T522" s="171">
        <f t="shared" si="16"/>
        <v>3.5958935853448257</v>
      </c>
      <c r="U522" s="171">
        <f t="shared" si="17"/>
        <v>1.4009689227286717</v>
      </c>
    </row>
    <row r="523" spans="1:21" s="42" customFormat="1">
      <c r="A523" s="5">
        <v>881</v>
      </c>
      <c r="B523" s="28">
        <v>65.073999999999998</v>
      </c>
      <c r="C523" s="5" t="s">
        <v>127</v>
      </c>
      <c r="D523" s="5">
        <v>101</v>
      </c>
      <c r="E523" s="5">
        <v>3</v>
      </c>
      <c r="F523" s="24">
        <v>50.643999999999998</v>
      </c>
      <c r="G523" s="24">
        <v>-144.869</v>
      </c>
      <c r="H523" s="5">
        <v>14</v>
      </c>
      <c r="I523" s="25">
        <v>43343.649305555555</v>
      </c>
      <c r="J523" s="26">
        <v>43343.649305555555</v>
      </c>
      <c r="K523" s="7">
        <v>2.2396257600000005</v>
      </c>
      <c r="L523" s="7">
        <v>1.7729127895907384</v>
      </c>
      <c r="M523" s="7">
        <v>6.8221664356606954E-2</v>
      </c>
      <c r="N523" s="6">
        <v>1127.3911068734742</v>
      </c>
      <c r="O523" s="6">
        <v>82.312465383810547</v>
      </c>
      <c r="P523" s="67">
        <v>4.1929461999999988</v>
      </c>
      <c r="Q523" s="7">
        <v>1.2547212632415106</v>
      </c>
      <c r="R523" s="67">
        <v>4.7270902574789257</v>
      </c>
      <c r="S523" s="7">
        <v>1.4560564617602194</v>
      </c>
      <c r="T523" s="171">
        <f t="shared" si="16"/>
        <v>3.3423309086354904</v>
      </c>
      <c r="U523" s="171">
        <f t="shared" si="17"/>
        <v>1.1169655446040714</v>
      </c>
    </row>
    <row r="524" spans="1:21" s="42" customFormat="1">
      <c r="A524" s="5">
        <v>880</v>
      </c>
      <c r="B524" s="28">
        <v>74.680999999999997</v>
      </c>
      <c r="C524" s="5" t="s">
        <v>127</v>
      </c>
      <c r="D524" s="5">
        <v>101</v>
      </c>
      <c r="E524" s="5">
        <v>3</v>
      </c>
      <c r="F524" s="24">
        <v>50.643999999999998</v>
      </c>
      <c r="G524" s="24">
        <v>-144.869</v>
      </c>
      <c r="H524" s="5">
        <v>11</v>
      </c>
      <c r="I524" s="25">
        <v>43343.649305555555</v>
      </c>
      <c r="J524" s="26">
        <v>43343.649305555555</v>
      </c>
      <c r="K524" s="7">
        <v>2.2421488200000006</v>
      </c>
      <c r="L524" s="7">
        <v>2.1887963508726092</v>
      </c>
      <c r="M524" s="7">
        <v>7.7810328885212415E-2</v>
      </c>
      <c r="N524" s="6">
        <v>1149.9969055042932</v>
      </c>
      <c r="O524" s="6">
        <v>88.669504004381309</v>
      </c>
      <c r="P524" s="67">
        <v>3.4849102999999992</v>
      </c>
      <c r="Q524" s="7">
        <v>0.91197304516520117</v>
      </c>
      <c r="R524" s="67">
        <v>4.0076360609600368</v>
      </c>
      <c r="S524" s="7">
        <v>1.0933410975133724</v>
      </c>
      <c r="T524" s="171">
        <f t="shared" si="16"/>
        <v>2.8336344659204205</v>
      </c>
      <c r="U524" s="171">
        <f t="shared" si="17"/>
        <v>0.85588147116745328</v>
      </c>
    </row>
    <row r="525" spans="1:21" s="42" customFormat="1">
      <c r="A525" s="5">
        <v>879</v>
      </c>
      <c r="B525" s="28">
        <v>94.539000000000001</v>
      </c>
      <c r="C525" s="5" t="s">
        <v>127</v>
      </c>
      <c r="D525" s="5">
        <v>101</v>
      </c>
      <c r="E525" s="5">
        <v>3</v>
      </c>
      <c r="F525" s="24">
        <v>50.643999999999998</v>
      </c>
      <c r="G525" s="24">
        <v>-144.869</v>
      </c>
      <c r="H525" s="5">
        <v>10</v>
      </c>
      <c r="I525" s="25">
        <v>43343.649305555555</v>
      </c>
      <c r="J525" s="26">
        <v>43343.649305555555</v>
      </c>
      <c r="K525" s="7">
        <v>2.2529406000000001</v>
      </c>
      <c r="L525" s="7">
        <v>2.2943074468891331</v>
      </c>
      <c r="M525" s="7">
        <v>8.8899300828648331E-2</v>
      </c>
      <c r="N525" s="6">
        <v>1128.8807335463762</v>
      </c>
      <c r="O525" s="6">
        <v>99.60719518555905</v>
      </c>
      <c r="P525" s="67">
        <v>2.0213756999999992</v>
      </c>
      <c r="Q525" s="7">
        <v>0.37206866001930922</v>
      </c>
      <c r="R525" s="67">
        <v>2.281892082988819</v>
      </c>
      <c r="S525" s="7">
        <v>0.46578642136076948</v>
      </c>
      <c r="T525" s="171">
        <f t="shared" si="16"/>
        <v>1.6134319472909182</v>
      </c>
      <c r="U525" s="171">
        <f t="shared" si="17"/>
        <v>0.39013313917375786</v>
      </c>
    </row>
    <row r="526" spans="1:21" s="42" customFormat="1">
      <c r="A526" s="5">
        <v>878</v>
      </c>
      <c r="B526" s="28">
        <v>110.179</v>
      </c>
      <c r="C526" s="5" t="s">
        <v>127</v>
      </c>
      <c r="D526" s="5">
        <v>101</v>
      </c>
      <c r="E526" s="5">
        <v>3</v>
      </c>
      <c r="F526" s="24">
        <v>50.643999999999998</v>
      </c>
      <c r="G526" s="24">
        <v>-144.869</v>
      </c>
      <c r="H526" s="5">
        <v>7</v>
      </c>
      <c r="I526" s="25">
        <v>43343.649305555555</v>
      </c>
      <c r="J526" s="26">
        <v>43343.649305555555</v>
      </c>
      <c r="K526" s="7">
        <v>2.2865656799999998</v>
      </c>
      <c r="L526" s="7">
        <v>2.2848089211606664</v>
      </c>
      <c r="M526" s="7">
        <v>0.11837957643010925</v>
      </c>
      <c r="N526" s="6">
        <v>1129.6339510663165</v>
      </c>
      <c r="O526" s="6">
        <v>111.79327839100283</v>
      </c>
      <c r="P526" s="67">
        <v>1.5136921000000001</v>
      </c>
      <c r="Q526" s="7">
        <v>0.27548524594815232</v>
      </c>
      <c r="R526" s="67">
        <v>1.7099179876208701</v>
      </c>
      <c r="S526" s="7">
        <v>0.35423084008908323</v>
      </c>
      <c r="T526" s="171">
        <f t="shared" si="16"/>
        <v>1.2090126124025062</v>
      </c>
      <c r="U526" s="171">
        <f t="shared" si="17"/>
        <v>0.29545201168185814</v>
      </c>
    </row>
    <row r="527" spans="1:21" s="42" customFormat="1">
      <c r="A527" s="5">
        <v>877</v>
      </c>
      <c r="B527" s="28">
        <v>124.355</v>
      </c>
      <c r="C527" s="5" t="s">
        <v>127</v>
      </c>
      <c r="D527" s="5">
        <v>101</v>
      </c>
      <c r="E527" s="5">
        <v>3</v>
      </c>
      <c r="F527" s="24">
        <v>50.643999999999998</v>
      </c>
      <c r="G527" s="24">
        <v>-144.869</v>
      </c>
      <c r="H527" s="5">
        <v>6</v>
      </c>
      <c r="I527" s="25">
        <v>43343.649305555555</v>
      </c>
      <c r="J527" s="26">
        <v>43343.649305555555</v>
      </c>
      <c r="K527" s="7">
        <v>2.3029144800000005</v>
      </c>
      <c r="L527" s="7">
        <v>2.1338289055117392</v>
      </c>
      <c r="M527" s="7">
        <v>8.3779259168596576E-2</v>
      </c>
      <c r="N527" s="6">
        <v>1222.2211569840094</v>
      </c>
      <c r="O527" s="6">
        <v>120.83997605678451</v>
      </c>
      <c r="P527" s="67">
        <v>1.3705145000000001</v>
      </c>
      <c r="Q527" s="7">
        <v>0.28628325853530756</v>
      </c>
      <c r="R527" s="67">
        <v>1.6750718178533615</v>
      </c>
      <c r="S527" s="7">
        <v>0.38711584083684819</v>
      </c>
      <c r="T527" s="171">
        <f t="shared" si="16"/>
        <v>1.1843743203628661</v>
      </c>
      <c r="U527" s="171">
        <f t="shared" si="17"/>
        <v>0.31382956368354153</v>
      </c>
    </row>
    <row r="528" spans="1:21" s="42" customFormat="1">
      <c r="A528" s="5">
        <v>876</v>
      </c>
      <c r="B528" s="28">
        <v>148.25799999999899</v>
      </c>
      <c r="C528" s="5" t="s">
        <v>127</v>
      </c>
      <c r="D528" s="5">
        <v>101</v>
      </c>
      <c r="E528" s="5">
        <v>3</v>
      </c>
      <c r="F528" s="24">
        <v>50.643999999999998</v>
      </c>
      <c r="G528" s="24">
        <v>-144.869</v>
      </c>
      <c r="H528" s="5">
        <v>5</v>
      </c>
      <c r="I528" s="25">
        <v>43343.649305555555</v>
      </c>
      <c r="J528" s="26">
        <v>43343.649305555555</v>
      </c>
      <c r="K528" s="7">
        <v>2.3285302200000002</v>
      </c>
      <c r="L528" s="7">
        <v>2.3383192590607056</v>
      </c>
      <c r="M528" s="7">
        <v>8.8125898676235562E-2</v>
      </c>
      <c r="N528" s="6">
        <v>1212.1245474907014</v>
      </c>
      <c r="O528" s="6">
        <v>151.2090115636903</v>
      </c>
      <c r="P528" s="67">
        <v>1.1290942000000104</v>
      </c>
      <c r="Q528" s="7">
        <v>0.28705122855432968</v>
      </c>
      <c r="R528" s="67">
        <v>1.3686027962493881</v>
      </c>
      <c r="S528" s="7">
        <v>0.38757191622068177</v>
      </c>
      <c r="T528" s="171">
        <f t="shared" si="16"/>
        <v>0.96768269239455784</v>
      </c>
      <c r="U528" s="171">
        <f t="shared" si="17"/>
        <v>0.30138014860284018</v>
      </c>
    </row>
    <row r="529" spans="1:21" s="42" customFormat="1">
      <c r="A529" s="5">
        <v>875</v>
      </c>
      <c r="B529" s="28">
        <v>196.08099999999999</v>
      </c>
      <c r="C529" s="5" t="s">
        <v>127</v>
      </c>
      <c r="D529" s="5">
        <v>101</v>
      </c>
      <c r="E529" s="5">
        <v>3</v>
      </c>
      <c r="F529" s="24">
        <v>50.643999999999998</v>
      </c>
      <c r="G529" s="24">
        <v>-144.869</v>
      </c>
      <c r="H529" s="5">
        <v>3</v>
      </c>
      <c r="I529" s="25">
        <v>43343.649305555555</v>
      </c>
      <c r="J529" s="26">
        <v>43343.649305555555</v>
      </c>
      <c r="K529" s="7">
        <v>2.3365788600000004</v>
      </c>
      <c r="L529" s="7">
        <v>2.2933981793562728</v>
      </c>
      <c r="M529" s="7">
        <v>0.1197363288609308</v>
      </c>
      <c r="N529" s="6">
        <v>1325.4140988904985</v>
      </c>
      <c r="O529" s="6">
        <v>348.63950017656441</v>
      </c>
      <c r="P529" s="67">
        <v>1.0337542000000002</v>
      </c>
      <c r="Q529" s="7">
        <v>7.6627503534423658E-2</v>
      </c>
      <c r="R529" s="67">
        <v>1.3701523914672684</v>
      </c>
      <c r="S529" s="7">
        <v>0.37444449332752466</v>
      </c>
      <c r="T529" s="171">
        <f t="shared" si="16"/>
        <v>0.96877834737690149</v>
      </c>
      <c r="U529" s="171">
        <f t="shared" si="17"/>
        <v>0.29302673355978348</v>
      </c>
    </row>
    <row r="530" spans="1:21" s="42" customFormat="1">
      <c r="A530" s="5">
        <v>874</v>
      </c>
      <c r="B530" s="28">
        <v>330.70699999999999</v>
      </c>
      <c r="C530" s="5" t="s">
        <v>127</v>
      </c>
      <c r="D530" s="5">
        <v>101</v>
      </c>
      <c r="E530" s="5">
        <v>3</v>
      </c>
      <c r="F530" s="24">
        <v>50.643999999999998</v>
      </c>
      <c r="G530" s="24">
        <v>-144.869</v>
      </c>
      <c r="H530" s="5">
        <v>2</v>
      </c>
      <c r="I530" s="25">
        <v>43343.649305555555</v>
      </c>
      <c r="J530" s="26">
        <v>43343.649305555555</v>
      </c>
      <c r="K530" s="7">
        <v>2.3499565799999997</v>
      </c>
      <c r="L530" s="7">
        <v>2.2377855997100768</v>
      </c>
      <c r="M530" s="7">
        <v>8.6620999272424518E-2</v>
      </c>
      <c r="N530" s="6">
        <v>1542.5683539348088</v>
      </c>
      <c r="O530" s="6">
        <v>386.87198935846334</v>
      </c>
      <c r="P530" s="67">
        <v>0.92971720000000002</v>
      </c>
      <c r="Q530" s="7">
        <v>0.14893655540930839</v>
      </c>
      <c r="R530" s="67">
        <v>1.4341523308288795</v>
      </c>
      <c r="S530" s="7">
        <v>0.42679443899292324</v>
      </c>
      <c r="T530" s="171">
        <f t="shared" si="16"/>
        <v>1.01403006964742</v>
      </c>
      <c r="U530" s="171">
        <f t="shared" si="17"/>
        <v>0.32915324314705896</v>
      </c>
    </row>
    <row r="531" spans="1:21" s="42" customFormat="1">
      <c r="A531" s="5">
        <v>885</v>
      </c>
      <c r="B531" s="28">
        <v>5.6310000000000002</v>
      </c>
      <c r="C531" s="5" t="s">
        <v>122</v>
      </c>
      <c r="D531" s="5">
        <v>102</v>
      </c>
      <c r="E531" s="5">
        <v>3</v>
      </c>
      <c r="F531" s="24">
        <v>50.643999999999998</v>
      </c>
      <c r="G531" s="24">
        <v>-145.02799999999999</v>
      </c>
      <c r="H531" s="5">
        <v>13</v>
      </c>
      <c r="I531" s="25">
        <v>43343.768055555556</v>
      </c>
      <c r="J531" s="26">
        <v>43343.768055555556</v>
      </c>
      <c r="K531" s="7">
        <v>2.22343416</v>
      </c>
      <c r="L531" s="7">
        <v>1.4035602557062183</v>
      </c>
      <c r="M531" s="7">
        <v>7.5099447911163228E-2</v>
      </c>
      <c r="N531" s="6">
        <v>304.70703839207863</v>
      </c>
      <c r="O531" s="6">
        <v>27.910792425576513</v>
      </c>
      <c r="P531" s="7">
        <v>5.3045246601367619</v>
      </c>
      <c r="Q531" s="7">
        <v>1.8998610814664527</v>
      </c>
      <c r="R531" s="67">
        <v>1.6163259992680203</v>
      </c>
      <c r="S531" s="7">
        <v>0.59753347444261418</v>
      </c>
      <c r="T531" s="171">
        <f t="shared" si="16"/>
        <v>1.1428375705831832</v>
      </c>
      <c r="U531" s="171">
        <f t="shared" si="17"/>
        <v>0.44771029468042933</v>
      </c>
    </row>
    <row r="532" spans="1:21" s="42" customFormat="1">
      <c r="A532" s="5">
        <v>886</v>
      </c>
      <c r="B532" s="28">
        <v>20.213999999999999</v>
      </c>
      <c r="C532" s="5" t="s">
        <v>122</v>
      </c>
      <c r="D532" s="5">
        <v>102</v>
      </c>
      <c r="E532" s="5">
        <v>3</v>
      </c>
      <c r="F532" s="24">
        <v>50.643999999999998</v>
      </c>
      <c r="G532" s="24">
        <v>-145.02799999999999</v>
      </c>
      <c r="H532" s="5">
        <v>12</v>
      </c>
      <c r="I532" s="25">
        <v>43343.768055555556</v>
      </c>
      <c r="J532" s="26">
        <v>43343.768055555556</v>
      </c>
      <c r="K532" s="7">
        <v>2.2234420199999998</v>
      </c>
      <c r="L532" s="7">
        <v>1.5672735707358703</v>
      </c>
      <c r="M532" s="7">
        <v>6.582302852044894E-2</v>
      </c>
      <c r="N532" s="6">
        <v>582.74887807850132</v>
      </c>
      <c r="O532" s="6">
        <v>39.458217977988433</v>
      </c>
      <c r="P532" s="7">
        <v>5.3045246601367619</v>
      </c>
      <c r="Q532" s="7">
        <v>1.8998610814664527</v>
      </c>
      <c r="R532" s="67">
        <v>3.0912057944344413</v>
      </c>
      <c r="S532" s="7">
        <v>1.1267531562815993</v>
      </c>
      <c r="T532" s="171">
        <f t="shared" si="16"/>
        <v>2.1856643535301528</v>
      </c>
      <c r="U532" s="171">
        <f t="shared" si="17"/>
        <v>0.84555825591693301</v>
      </c>
    </row>
    <row r="533" spans="1:21" s="42" customFormat="1">
      <c r="A533" s="5">
        <v>887</v>
      </c>
      <c r="B533" s="28">
        <v>35.097999999999999</v>
      </c>
      <c r="C533" s="5" t="s">
        <v>122</v>
      </c>
      <c r="D533" s="5">
        <v>102</v>
      </c>
      <c r="E533" s="5">
        <v>3</v>
      </c>
      <c r="F533" s="24">
        <v>50.643999999999998</v>
      </c>
      <c r="G533" s="24">
        <v>-145.02799999999999</v>
      </c>
      <c r="H533" s="5">
        <v>11</v>
      </c>
      <c r="I533" s="25">
        <v>43343.768055555556</v>
      </c>
      <c r="J533" s="26">
        <v>43343.768055555556</v>
      </c>
      <c r="K533" s="7">
        <v>2.23480758</v>
      </c>
      <c r="L533" s="7">
        <v>1.5488997054649263</v>
      </c>
      <c r="M533" s="7">
        <v>7.2313015202012235E-2</v>
      </c>
      <c r="N533" s="6">
        <v>877.80128660265223</v>
      </c>
      <c r="O533" s="6">
        <v>50.244994812333658</v>
      </c>
      <c r="P533" s="7">
        <v>5.3045246601367619</v>
      </c>
      <c r="Q533" s="7">
        <v>1.8998610814664527</v>
      </c>
      <c r="R533" s="67">
        <v>4.6563185714835464</v>
      </c>
      <c r="S533" s="7">
        <v>1.6888638112175249</v>
      </c>
      <c r="T533" s="171">
        <f t="shared" si="16"/>
        <v>3.2922911631103533</v>
      </c>
      <c r="U533" s="171">
        <f t="shared" si="17"/>
        <v>1.2680947350986522</v>
      </c>
    </row>
    <row r="534" spans="1:21" s="42" customFormat="1">
      <c r="A534" s="5">
        <v>888</v>
      </c>
      <c r="B534" s="28">
        <v>50.128</v>
      </c>
      <c r="C534" s="5" t="s">
        <v>122</v>
      </c>
      <c r="D534" s="5">
        <v>102</v>
      </c>
      <c r="E534" s="5">
        <v>3</v>
      </c>
      <c r="F534" s="24">
        <v>50.643999999999998</v>
      </c>
      <c r="G534" s="24">
        <v>-145.02799999999999</v>
      </c>
      <c r="H534" s="5">
        <v>10</v>
      </c>
      <c r="I534" s="25">
        <v>43343.768055555556</v>
      </c>
      <c r="J534" s="26">
        <v>43343.768055555556</v>
      </c>
      <c r="K534" s="7">
        <v>2.2366311000000003</v>
      </c>
      <c r="L534" s="7">
        <v>1.7248029839062284</v>
      </c>
      <c r="M534" s="7">
        <v>7.7874643159516685E-2</v>
      </c>
      <c r="N534" s="6">
        <v>1097.9415279376569</v>
      </c>
      <c r="O534" s="6">
        <v>60.385677336575057</v>
      </c>
      <c r="P534" s="7">
        <v>5.3045246601367619</v>
      </c>
      <c r="Q534" s="7">
        <v>1.8998610814664527</v>
      </c>
      <c r="R534" s="67">
        <v>5.8240579103335364</v>
      </c>
      <c r="S534" s="7">
        <v>2.110387110886446</v>
      </c>
      <c r="T534" s="171">
        <f t="shared" si="16"/>
        <v>4.1179515742465362</v>
      </c>
      <c r="U534" s="171">
        <f t="shared" si="17"/>
        <v>1.5847701946195853</v>
      </c>
    </row>
    <row r="535" spans="1:21" s="42" customFormat="1">
      <c r="A535" s="5">
        <v>889</v>
      </c>
      <c r="B535" s="28">
        <v>65.007999999999996</v>
      </c>
      <c r="C535" s="5" t="s">
        <v>122</v>
      </c>
      <c r="D535" s="5">
        <v>102</v>
      </c>
      <c r="E535" s="5">
        <v>3</v>
      </c>
      <c r="F535" s="24">
        <v>50.643999999999998</v>
      </c>
      <c r="G535" s="24">
        <v>-145.02799999999999</v>
      </c>
      <c r="H535" s="5">
        <v>9</v>
      </c>
      <c r="I535" s="25">
        <v>43343.768055555556</v>
      </c>
      <c r="J535" s="26">
        <v>43343.768055555556</v>
      </c>
      <c r="K535" s="7">
        <v>2.2399794600000003</v>
      </c>
      <c r="L535" s="7">
        <v>2.0193902542755553</v>
      </c>
      <c r="M535" s="7">
        <v>7.9493117830463936E-2</v>
      </c>
      <c r="N535" s="6">
        <v>1194.1346349401358</v>
      </c>
      <c r="O535" s="6">
        <v>69.628164606570351</v>
      </c>
      <c r="P535" s="67">
        <v>4.1978103999999998</v>
      </c>
      <c r="Q535" s="7">
        <v>1.2572598642371711</v>
      </c>
      <c r="R535" s="67">
        <v>5.0127507895519052</v>
      </c>
      <c r="S535" s="7">
        <v>1.5295245812114591</v>
      </c>
      <c r="T535" s="171">
        <f t="shared" si="16"/>
        <v>3.54430971033368</v>
      </c>
      <c r="U535" s="171">
        <f t="shared" si="17"/>
        <v>1.175006992013947</v>
      </c>
    </row>
    <row r="536" spans="1:21" s="42" customFormat="1">
      <c r="A536" s="5">
        <v>890</v>
      </c>
      <c r="B536" s="28">
        <v>80.453000000000003</v>
      </c>
      <c r="C536" s="5" t="s">
        <v>122</v>
      </c>
      <c r="D536" s="5">
        <v>102</v>
      </c>
      <c r="E536" s="5">
        <v>3</v>
      </c>
      <c r="F536" s="24">
        <v>50.643999999999998</v>
      </c>
      <c r="G536" s="24">
        <v>-145.02799999999999</v>
      </c>
      <c r="H536" s="5">
        <v>8</v>
      </c>
      <c r="I536" s="25">
        <v>43343.768055555556</v>
      </c>
      <c r="J536" s="26">
        <v>43343.768055555556</v>
      </c>
      <c r="K536" s="7">
        <v>2.2448133600000002</v>
      </c>
      <c r="L536" s="7">
        <v>1.8981644937988278</v>
      </c>
      <c r="M536" s="7">
        <v>8.0077845007048412E-2</v>
      </c>
      <c r="N536" s="6">
        <v>1341.4756694917016</v>
      </c>
      <c r="O536" s="6">
        <v>77.502078541512887</v>
      </c>
      <c r="P536" s="67">
        <v>3.0595138999999989</v>
      </c>
      <c r="Q536" s="7">
        <v>0.7316191816646993</v>
      </c>
      <c r="R536" s="67">
        <v>4.1042634573216654</v>
      </c>
      <c r="S536" s="7">
        <v>1.009687110890062</v>
      </c>
      <c r="T536" s="171">
        <f t="shared" si="16"/>
        <v>2.9019557197762089</v>
      </c>
      <c r="U536" s="171">
        <f t="shared" si="17"/>
        <v>0.80694858287416471</v>
      </c>
    </row>
    <row r="537" spans="1:21" s="42" customFormat="1">
      <c r="A537" s="5">
        <v>891</v>
      </c>
      <c r="B537" s="28">
        <v>94.566000000000003</v>
      </c>
      <c r="C537" s="5" t="s">
        <v>122</v>
      </c>
      <c r="D537" s="5">
        <v>102</v>
      </c>
      <c r="E537" s="5">
        <v>3</v>
      </c>
      <c r="F537" s="24">
        <v>50.643999999999998</v>
      </c>
      <c r="G537" s="24">
        <v>-145.02799999999999</v>
      </c>
      <c r="H537" s="5">
        <v>7</v>
      </c>
      <c r="I537" s="25">
        <v>43343.768055555556</v>
      </c>
      <c r="J537" s="26">
        <v>43343.768055555556</v>
      </c>
      <c r="K537" s="7">
        <v>2.2625062200000006</v>
      </c>
      <c r="L537" s="7">
        <v>2.2628350506892443</v>
      </c>
      <c r="M537" s="7">
        <v>0.10313229735101065</v>
      </c>
      <c r="N537" s="6">
        <v>1341.3368003982787</v>
      </c>
      <c r="O537" s="6">
        <v>88.901756144777494</v>
      </c>
      <c r="P537" s="67">
        <v>2.0193857999999985</v>
      </c>
      <c r="Q537" s="7">
        <v>0.37148925296301449</v>
      </c>
      <c r="R537" s="67">
        <v>2.7086764877417164</v>
      </c>
      <c r="S537" s="7">
        <v>0.5296461518010569</v>
      </c>
      <c r="T537" s="171">
        <f t="shared" si="16"/>
        <v>1.9151936293473071</v>
      </c>
      <c r="U537" s="171">
        <f t="shared" si="17"/>
        <v>0.44930516767439932</v>
      </c>
    </row>
    <row r="538" spans="1:21" s="42" customFormat="1">
      <c r="A538" s="5">
        <v>892</v>
      </c>
      <c r="B538" s="28">
        <v>109.821</v>
      </c>
      <c r="C538" s="5" t="s">
        <v>122</v>
      </c>
      <c r="D538" s="5">
        <v>102</v>
      </c>
      <c r="E538" s="5">
        <v>3</v>
      </c>
      <c r="F538" s="24">
        <v>50.643999999999998</v>
      </c>
      <c r="G538" s="24">
        <v>-145.02799999999999</v>
      </c>
      <c r="H538" s="5">
        <v>6</v>
      </c>
      <c r="I538" s="25">
        <v>43343.768055555556</v>
      </c>
      <c r="J538" s="26">
        <v>43343.768055555556</v>
      </c>
      <c r="K538" s="7">
        <v>2.2781161800000005</v>
      </c>
      <c r="L538" s="7">
        <v>2.1111421136974364</v>
      </c>
      <c r="M538" s="7">
        <v>8.6786198558933658E-2</v>
      </c>
      <c r="N538" s="6">
        <v>1413.6695484853835</v>
      </c>
      <c r="O538" s="6">
        <v>96.52434250964329</v>
      </c>
      <c r="P538" s="67">
        <v>1.5173079</v>
      </c>
      <c r="Q538" s="7">
        <v>0.2751128622599523</v>
      </c>
      <c r="R538" s="67">
        <v>2.1449719739063058</v>
      </c>
      <c r="S538" s="7">
        <v>0.41558083738236046</v>
      </c>
      <c r="T538" s="171">
        <f t="shared" si="16"/>
        <v>1.5166213751051667</v>
      </c>
      <c r="U538" s="171">
        <f t="shared" si="17"/>
        <v>0.35353996232810814</v>
      </c>
    </row>
    <row r="539" spans="1:21" s="42" customFormat="1">
      <c r="A539" s="5">
        <v>893</v>
      </c>
      <c r="B539" s="28">
        <v>124.691</v>
      </c>
      <c r="C539" s="5" t="s">
        <v>122</v>
      </c>
      <c r="D539" s="5">
        <v>102</v>
      </c>
      <c r="E539" s="5">
        <v>3</v>
      </c>
      <c r="F539" s="24">
        <v>50.643999999999998</v>
      </c>
      <c r="G539" s="24">
        <v>-145.02799999999999</v>
      </c>
      <c r="H539" s="5">
        <v>5</v>
      </c>
      <c r="I539" s="25">
        <v>43343.768055555556</v>
      </c>
      <c r="J539" s="26">
        <v>43343.768055555556</v>
      </c>
      <c r="K539" s="7">
        <v>2.3013110400000003</v>
      </c>
      <c r="L539" s="7">
        <v>2.5063255156980322</v>
      </c>
      <c r="M539" s="7">
        <v>9.6823493087441148E-2</v>
      </c>
      <c r="N539" s="6">
        <v>1304.4627778945855</v>
      </c>
      <c r="O539" s="6">
        <v>109.43952452817763</v>
      </c>
      <c r="P539" s="67">
        <v>1.3671209</v>
      </c>
      <c r="Q539" s="7">
        <v>0.2864457700605843</v>
      </c>
      <c r="R539" s="67">
        <v>1.7833583269317457</v>
      </c>
      <c r="S539" s="7">
        <v>0.40249900633405727</v>
      </c>
      <c r="T539" s="171">
        <f t="shared" si="16"/>
        <v>1.2609392528196344</v>
      </c>
      <c r="U539" s="171">
        <f t="shared" si="17"/>
        <v>0.32818812244273093</v>
      </c>
    </row>
    <row r="540" spans="1:21" s="42" customFormat="1">
      <c r="A540" s="5">
        <v>894</v>
      </c>
      <c r="B540" s="28">
        <v>146.864</v>
      </c>
      <c r="C540" s="5" t="s">
        <v>122</v>
      </c>
      <c r="D540" s="5">
        <v>102</v>
      </c>
      <c r="E540" s="5">
        <v>3</v>
      </c>
      <c r="F540" s="24">
        <v>50.643999999999998</v>
      </c>
      <c r="G540" s="24">
        <v>-145.02799999999999</v>
      </c>
      <c r="H540" s="5">
        <v>4</v>
      </c>
      <c r="I540" s="25">
        <v>43343.768055555556</v>
      </c>
      <c r="J540" s="26">
        <v>43343.768055555556</v>
      </c>
      <c r="K540" s="7">
        <v>2.32696608</v>
      </c>
      <c r="L540" s="7">
        <v>2.2154423872245959</v>
      </c>
      <c r="M540" s="7">
        <v>0.10311276114575825</v>
      </c>
      <c r="N540" s="6">
        <v>1419.6749584448924</v>
      </c>
      <c r="O540" s="6">
        <v>152.72253868424212</v>
      </c>
      <c r="P540" s="67">
        <v>1.1431736000000001</v>
      </c>
      <c r="Q540" s="7">
        <v>0.28760762564858888</v>
      </c>
      <c r="R540" s="67">
        <v>1.6229349330752982</v>
      </c>
      <c r="S540" s="7">
        <v>0.44406938742520435</v>
      </c>
      <c r="T540" s="171">
        <f t="shared" si="16"/>
        <v>1.1475104755911303</v>
      </c>
      <c r="U540" s="171">
        <f t="shared" si="17"/>
        <v>0.34743468902969216</v>
      </c>
    </row>
    <row r="541" spans="1:21" s="42" customFormat="1">
      <c r="A541" s="5">
        <v>895</v>
      </c>
      <c r="B541" s="28">
        <v>196.53200000000001</v>
      </c>
      <c r="C541" s="5" t="s">
        <v>122</v>
      </c>
      <c r="D541" s="5">
        <v>102</v>
      </c>
      <c r="E541" s="5">
        <v>3</v>
      </c>
      <c r="F541" s="24">
        <v>50.643999999999998</v>
      </c>
      <c r="G541" s="24">
        <v>-145.02799999999999</v>
      </c>
      <c r="H541" s="5">
        <v>3</v>
      </c>
      <c r="I541" s="25">
        <v>43343.768055555556</v>
      </c>
      <c r="J541" s="26">
        <v>43343.768055555556</v>
      </c>
      <c r="K541" s="7">
        <v>2.3377657200000002</v>
      </c>
      <c r="L541" s="7">
        <v>2.2980250835650295</v>
      </c>
      <c r="M541" s="7">
        <v>0.10506899710527548</v>
      </c>
      <c r="N541" s="6">
        <v>1524.9889437215634</v>
      </c>
      <c r="O541" s="6">
        <v>317.57036008716193</v>
      </c>
      <c r="P541" s="67">
        <v>1.0329424</v>
      </c>
      <c r="Q541" s="7">
        <v>7.4712285824422464E-2</v>
      </c>
      <c r="R541" s="67">
        <v>1.5752257395012166</v>
      </c>
      <c r="S541" s="7">
        <v>0.34725523526459845</v>
      </c>
      <c r="T541" s="171">
        <f t="shared" si="16"/>
        <v>1.113777268983442</v>
      </c>
      <c r="U541" s="171">
        <f t="shared" si="17"/>
        <v>0.28483088162245807</v>
      </c>
    </row>
    <row r="542" spans="1:21" s="42" customFormat="1">
      <c r="A542" s="5">
        <v>896</v>
      </c>
      <c r="B542" s="28">
        <v>331.15</v>
      </c>
      <c r="C542" s="5" t="s">
        <v>122</v>
      </c>
      <c r="D542" s="5">
        <v>102</v>
      </c>
      <c r="E542" s="5">
        <v>3</v>
      </c>
      <c r="F542" s="24">
        <v>50.643999999999998</v>
      </c>
      <c r="G542" s="24">
        <v>-145.02799999999999</v>
      </c>
      <c r="H542" s="5">
        <v>2</v>
      </c>
      <c r="I542" s="25">
        <v>43343.768055555556</v>
      </c>
      <c r="J542" s="26">
        <v>43343.768055555556</v>
      </c>
      <c r="K542" s="7">
        <v>2.3502002400000004</v>
      </c>
      <c r="L542" s="7">
        <v>2.2404000789810494</v>
      </c>
      <c r="M542" s="7">
        <v>0.10316674708835065</v>
      </c>
      <c r="N542" s="6">
        <v>2005.2951710295899</v>
      </c>
      <c r="O542" s="6">
        <v>551.82688462139117</v>
      </c>
      <c r="P542" s="67">
        <v>0.92954000000000003</v>
      </c>
      <c r="Q542" s="7">
        <v>0.14895799489100001</v>
      </c>
      <c r="R542" s="67">
        <v>1.8640020732788452</v>
      </c>
      <c r="S542" s="7">
        <v>0.59358004173119039</v>
      </c>
      <c r="T542" s="171">
        <f t="shared" si="16"/>
        <v>1.3179591257906704</v>
      </c>
      <c r="U542" s="171">
        <f t="shared" si="17"/>
        <v>0.45313491576370063</v>
      </c>
    </row>
    <row r="543" spans="1:21" s="42" customFormat="1">
      <c r="A543" s="5">
        <v>897</v>
      </c>
      <c r="B543" s="28">
        <v>500.73</v>
      </c>
      <c r="C543" s="5" t="s">
        <v>122</v>
      </c>
      <c r="D543" s="5">
        <v>102</v>
      </c>
      <c r="E543" s="5">
        <v>3</v>
      </c>
      <c r="F543" s="24">
        <v>50.643999999999998</v>
      </c>
      <c r="G543" s="24">
        <v>-145.02799999999999</v>
      </c>
      <c r="H543" s="5">
        <v>1</v>
      </c>
      <c r="I543" s="25">
        <v>43343.768055555556</v>
      </c>
      <c r="J543" s="26">
        <v>43343.768055555556</v>
      </c>
      <c r="K543" s="7">
        <v>2.3672878800000001</v>
      </c>
      <c r="L543" s="7">
        <v>2.7578795863455445</v>
      </c>
      <c r="M543" s="7">
        <v>9.606233111551471E-2</v>
      </c>
      <c r="N543" s="6">
        <v>1052.8137033669168</v>
      </c>
      <c r="O543" s="6">
        <v>599.48957606264582</v>
      </c>
      <c r="P543" s="68">
        <v>0.87680272990205399</v>
      </c>
      <c r="Q543" s="7">
        <v>0.15828163628098546</v>
      </c>
      <c r="R543" s="67">
        <v>0.92310992919040391</v>
      </c>
      <c r="S543" s="7">
        <v>0.55141676784452887</v>
      </c>
      <c r="T543" s="171">
        <f t="shared" si="16"/>
        <v>0.65269302686149544</v>
      </c>
      <c r="U543" s="171">
        <f t="shared" si="17"/>
        <v>0.39895824654851292</v>
      </c>
    </row>
    <row r="544" spans="1:21" s="42" customFormat="1">
      <c r="A544" s="5">
        <v>898</v>
      </c>
      <c r="B544" s="28">
        <v>7.665</v>
      </c>
      <c r="C544" s="5" t="s">
        <v>138</v>
      </c>
      <c r="D544" s="5">
        <v>104</v>
      </c>
      <c r="E544" s="5">
        <v>3</v>
      </c>
      <c r="F544" s="24">
        <v>50.594000000000001</v>
      </c>
      <c r="G544" s="24">
        <v>-144.94900000000001</v>
      </c>
      <c r="H544" s="5">
        <v>13</v>
      </c>
      <c r="I544" s="25">
        <v>43344.013194444444</v>
      </c>
      <c r="J544" s="26">
        <v>43344.013194444444</v>
      </c>
      <c r="K544" s="7">
        <v>2.2235206200000004</v>
      </c>
      <c r="L544" s="7">
        <v>1.5036057237607332</v>
      </c>
      <c r="M544" s="7">
        <v>6.8955760865957685E-2</v>
      </c>
      <c r="N544" s="6">
        <v>302.85876596271885</v>
      </c>
      <c r="O544" s="6">
        <v>29.00878527584106</v>
      </c>
      <c r="P544" s="7">
        <v>5.3045246601367619</v>
      </c>
      <c r="Q544" s="7">
        <v>1.8998610814664527</v>
      </c>
      <c r="R544" s="67">
        <v>1.6065217925878303</v>
      </c>
      <c r="S544" s="7">
        <v>0.59561023691978965</v>
      </c>
      <c r="T544" s="171">
        <f t="shared" si="16"/>
        <v>1.1359054196749148</v>
      </c>
      <c r="U544" s="171">
        <f t="shared" si="17"/>
        <v>0.44612990181654238</v>
      </c>
    </row>
    <row r="545" spans="1:21" s="42" customFormat="1">
      <c r="A545" s="5">
        <v>899</v>
      </c>
      <c r="B545" s="28">
        <v>21.59</v>
      </c>
      <c r="C545" s="5" t="s">
        <v>138</v>
      </c>
      <c r="D545" s="5">
        <v>104</v>
      </c>
      <c r="E545" s="5">
        <v>3</v>
      </c>
      <c r="F545" s="24">
        <v>50.594000000000001</v>
      </c>
      <c r="G545" s="24">
        <v>-144.94900000000001</v>
      </c>
      <c r="H545" s="5">
        <v>12</v>
      </c>
      <c r="I545" s="25">
        <v>43344.013194444444</v>
      </c>
      <c r="J545" s="26">
        <v>43344.013194444444</v>
      </c>
      <c r="K545" s="7">
        <v>2.2235756400000004</v>
      </c>
      <c r="L545" s="7">
        <v>1.477602935382659</v>
      </c>
      <c r="M545" s="7">
        <v>6.9062498815921414E-2</v>
      </c>
      <c r="N545" s="6">
        <v>620.67018709997569</v>
      </c>
      <c r="O545" s="6">
        <v>41.318641383544154</v>
      </c>
      <c r="P545" s="7">
        <v>5.3045246601367619</v>
      </c>
      <c r="Q545" s="7">
        <v>1.8998610814664527</v>
      </c>
      <c r="R545" s="67">
        <v>3.2923603132835191</v>
      </c>
      <c r="S545" s="7">
        <v>1.1993833018342273</v>
      </c>
      <c r="T545" s="171">
        <f t="shared" si="16"/>
        <v>2.3278924323567121</v>
      </c>
      <c r="U545" s="171">
        <f t="shared" si="17"/>
        <v>0.90012092095102847</v>
      </c>
    </row>
    <row r="546" spans="1:21" s="42" customFormat="1">
      <c r="A546" s="5">
        <v>900</v>
      </c>
      <c r="B546" s="28">
        <v>37.292000000000002</v>
      </c>
      <c r="C546" s="5" t="s">
        <v>138</v>
      </c>
      <c r="D546" s="5">
        <v>104</v>
      </c>
      <c r="E546" s="5">
        <v>3</v>
      </c>
      <c r="F546" s="24">
        <v>50.594000000000001</v>
      </c>
      <c r="G546" s="24">
        <v>-144.94900000000001</v>
      </c>
      <c r="H546" s="5">
        <v>11</v>
      </c>
      <c r="I546" s="25">
        <v>43344.013194444444</v>
      </c>
      <c r="J546" s="26">
        <v>43344.013194444444</v>
      </c>
      <c r="K546" s="7">
        <v>2.2337229000000001</v>
      </c>
      <c r="L546" s="7">
        <v>1.674668462793838</v>
      </c>
      <c r="M546" s="7">
        <v>6.9182960098686283E-2</v>
      </c>
      <c r="N546" s="6">
        <v>879.78173277318592</v>
      </c>
      <c r="O546" s="6">
        <v>52.301023046198182</v>
      </c>
      <c r="P546" s="7">
        <v>5.3045246601367619</v>
      </c>
      <c r="Q546" s="7">
        <v>1.8998610814664527</v>
      </c>
      <c r="R546" s="67">
        <v>4.6668238970332157</v>
      </c>
      <c r="S546" s="7">
        <v>1.694330947662354</v>
      </c>
      <c r="T546" s="171">
        <f t="shared" si="16"/>
        <v>3.299719046306445</v>
      </c>
      <c r="U546" s="171">
        <f t="shared" si="17"/>
        <v>1.2720589349611455</v>
      </c>
    </row>
    <row r="547" spans="1:21" s="42" customFormat="1">
      <c r="A547" s="5">
        <v>901</v>
      </c>
      <c r="B547" s="28">
        <v>53.820999999999998</v>
      </c>
      <c r="C547" s="5" t="s">
        <v>138</v>
      </c>
      <c r="D547" s="5">
        <v>104</v>
      </c>
      <c r="E547" s="5">
        <v>3</v>
      </c>
      <c r="F547" s="24">
        <v>50.594000000000001</v>
      </c>
      <c r="G547" s="24">
        <v>-144.94900000000001</v>
      </c>
      <c r="H547" s="5">
        <v>10</v>
      </c>
      <c r="I547" s="25">
        <v>43344.013194444444</v>
      </c>
      <c r="J547" s="26">
        <v>43344.013194444444</v>
      </c>
      <c r="K547" s="7">
        <v>2.2382738400000002</v>
      </c>
      <c r="L547" s="7">
        <v>1.7893614519358185</v>
      </c>
      <c r="M547" s="7">
        <v>7.8426455373097254E-2</v>
      </c>
      <c r="N547" s="6">
        <v>1083.8614882506197</v>
      </c>
      <c r="O547" s="6">
        <v>63.29740727972824</v>
      </c>
      <c r="P547" s="67">
        <v>5.0222922999999993</v>
      </c>
      <c r="Q547" s="7">
        <v>1.7238200238557253</v>
      </c>
      <c r="R547" s="67">
        <v>5.4434692067076265</v>
      </c>
      <c r="S547" s="7">
        <v>1.8952337581782825</v>
      </c>
      <c r="T547" s="171">
        <f t="shared" si="16"/>
        <v>3.8488529705983776</v>
      </c>
      <c r="U547" s="171">
        <f t="shared" si="17"/>
        <v>1.4299024882168665</v>
      </c>
    </row>
    <row r="548" spans="1:21" s="42" customFormat="1">
      <c r="A548" s="5">
        <v>902</v>
      </c>
      <c r="B548" s="28">
        <v>68.906000000000006</v>
      </c>
      <c r="C548" s="5" t="s">
        <v>138</v>
      </c>
      <c r="D548" s="5">
        <v>104</v>
      </c>
      <c r="E548" s="5">
        <v>3</v>
      </c>
      <c r="F548" s="24">
        <v>50.594000000000001</v>
      </c>
      <c r="G548" s="24">
        <v>-144.94900000000001</v>
      </c>
      <c r="H548" s="5">
        <v>9</v>
      </c>
      <c r="I548" s="25">
        <v>43344.013194444444</v>
      </c>
      <c r="J548" s="26">
        <v>43344.013194444444</v>
      </c>
      <c r="K548" s="7">
        <v>2.2400580600000004</v>
      </c>
      <c r="L548" s="7">
        <v>1.9876599914069679</v>
      </c>
      <c r="M548" s="7">
        <v>8.5598904243656557E-2</v>
      </c>
      <c r="N548" s="6">
        <v>1190.4521810105894</v>
      </c>
      <c r="O548" s="6">
        <v>72.892682157474383</v>
      </c>
      <c r="P548" s="67">
        <v>3.9105277999999988</v>
      </c>
      <c r="Q548" s="7">
        <v>1.1116318396901983</v>
      </c>
      <c r="R548" s="67">
        <v>4.6552963484125405</v>
      </c>
      <c r="S548" s="7">
        <v>1.3536962899449556</v>
      </c>
      <c r="T548" s="171">
        <f t="shared" si="16"/>
        <v>3.2915683912613627</v>
      </c>
      <c r="U548" s="171">
        <f t="shared" si="17"/>
        <v>1.0479359649306015</v>
      </c>
    </row>
    <row r="549" spans="1:21" s="42" customFormat="1">
      <c r="A549" s="5">
        <v>903</v>
      </c>
      <c r="B549" s="28">
        <v>83.188999999999993</v>
      </c>
      <c r="C549" s="5" t="s">
        <v>138</v>
      </c>
      <c r="D549" s="5">
        <v>104</v>
      </c>
      <c r="E549" s="5">
        <v>3</v>
      </c>
      <c r="F549" s="24">
        <v>50.594000000000001</v>
      </c>
      <c r="G549" s="24">
        <v>-144.94900000000001</v>
      </c>
      <c r="H549" s="5">
        <v>8</v>
      </c>
      <c r="I549" s="25">
        <v>43344.013194444444</v>
      </c>
      <c r="J549" s="26">
        <v>43344.013194444444</v>
      </c>
      <c r="K549" s="7">
        <v>2.2437994199999998</v>
      </c>
      <c r="L549" s="7">
        <v>2.307247004382881</v>
      </c>
      <c r="M549" s="7">
        <v>9.2138525683656464E-2</v>
      </c>
      <c r="N549" s="6">
        <v>1163.5334317344737</v>
      </c>
      <c r="O549" s="6">
        <v>82.713235933505317</v>
      </c>
      <c r="P549" s="67">
        <v>2.8578706999999994</v>
      </c>
      <c r="Q549" s="7">
        <v>0.65283540420006914</v>
      </c>
      <c r="R549" s="67">
        <v>3.3252281030244015</v>
      </c>
      <c r="S549" s="7">
        <v>0.79552691751402849</v>
      </c>
      <c r="T549" s="171">
        <f t="shared" si="16"/>
        <v>2.3511318933286445</v>
      </c>
      <c r="U549" s="171">
        <f t="shared" si="17"/>
        <v>0.63974274432179346</v>
      </c>
    </row>
    <row r="550" spans="1:21" s="42" customFormat="1">
      <c r="A550" s="5">
        <v>904</v>
      </c>
      <c r="B550" s="28">
        <v>98.41</v>
      </c>
      <c r="C550" s="5" t="s">
        <v>138</v>
      </c>
      <c r="D550" s="5">
        <v>104</v>
      </c>
      <c r="E550" s="5">
        <v>3</v>
      </c>
      <c r="F550" s="24">
        <v>50.594000000000001</v>
      </c>
      <c r="G550" s="24">
        <v>-144.94900000000001</v>
      </c>
      <c r="H550" s="5">
        <v>7</v>
      </c>
      <c r="I550" s="25">
        <v>43344.013194444444</v>
      </c>
      <c r="J550" s="26">
        <v>43344.013194444444</v>
      </c>
      <c r="K550" s="7">
        <v>2.25862338</v>
      </c>
      <c r="L550" s="7">
        <v>2.1393326442863021</v>
      </c>
      <c r="M550" s="7">
        <v>8.0870618220960463E-2</v>
      </c>
      <c r="N550" s="6">
        <v>1214.1754935487318</v>
      </c>
      <c r="O550" s="6">
        <v>89.555265920584773</v>
      </c>
      <c r="P550" s="67">
        <v>1.7360829999999989</v>
      </c>
      <c r="Q550" s="7">
        <v>0.29328571979072987</v>
      </c>
      <c r="R550" s="67">
        <v>2.1079094333665616</v>
      </c>
      <c r="S550" s="7">
        <v>0.38856150056341887</v>
      </c>
      <c r="T550" s="171">
        <f t="shared" si="16"/>
        <v>1.4904159785395827</v>
      </c>
      <c r="U550" s="171">
        <f t="shared" si="17"/>
        <v>0.33586339690128914</v>
      </c>
    </row>
    <row r="551" spans="1:21" s="42" customFormat="1">
      <c r="A551" s="5">
        <v>905</v>
      </c>
      <c r="B551" s="28">
        <v>112.711</v>
      </c>
      <c r="C551" s="5" t="s">
        <v>138</v>
      </c>
      <c r="D551" s="5">
        <v>104</v>
      </c>
      <c r="E551" s="5">
        <v>3</v>
      </c>
      <c r="F551" s="24">
        <v>50.594000000000001</v>
      </c>
      <c r="G551" s="24">
        <v>-144.94900000000001</v>
      </c>
      <c r="H551" s="5">
        <v>6</v>
      </c>
      <c r="I551" s="25">
        <v>43344.013194444444</v>
      </c>
      <c r="J551" s="26">
        <v>43344.013194444444</v>
      </c>
      <c r="K551" s="7">
        <v>2.2803484200000002</v>
      </c>
      <c r="L551" s="7">
        <v>2.1830310342233097</v>
      </c>
      <c r="M551" s="7">
        <v>8.590309610305677E-2</v>
      </c>
      <c r="N551" s="6">
        <v>1255.9664926837729</v>
      </c>
      <c r="O551" s="6">
        <v>96.855410994952521</v>
      </c>
      <c r="P551" s="67">
        <v>1.4881189000000001</v>
      </c>
      <c r="Q551" s="7">
        <v>0.27797877566939633</v>
      </c>
      <c r="R551" s="67">
        <v>1.8690274755294345</v>
      </c>
      <c r="S551" s="7">
        <v>0.37771326734439753</v>
      </c>
      <c r="T551" s="171">
        <f t="shared" si="16"/>
        <v>1.3215123808282481</v>
      </c>
      <c r="U551" s="171">
        <f t="shared" si="17"/>
        <v>0.31728233536168809</v>
      </c>
    </row>
    <row r="552" spans="1:21" s="42" customFormat="1">
      <c r="A552" s="5">
        <v>906</v>
      </c>
      <c r="B552" s="28">
        <v>128.273</v>
      </c>
      <c r="C552" s="5" t="s">
        <v>138</v>
      </c>
      <c r="D552" s="5">
        <v>104</v>
      </c>
      <c r="E552" s="5">
        <v>3</v>
      </c>
      <c r="F552" s="24">
        <v>50.594000000000001</v>
      </c>
      <c r="G552" s="24">
        <v>-144.94900000000001</v>
      </c>
      <c r="H552" s="5">
        <v>5</v>
      </c>
      <c r="I552" s="25">
        <v>43344.013194444444</v>
      </c>
      <c r="J552" s="26">
        <v>43344.013194444444</v>
      </c>
      <c r="K552" s="7">
        <v>2.3131089000000005</v>
      </c>
      <c r="L552" s="7">
        <v>1.9461535537462207</v>
      </c>
      <c r="M552" s="7">
        <v>8.7712603545047937E-2</v>
      </c>
      <c r="N552" s="6">
        <v>1444.3647214223281</v>
      </c>
      <c r="O552" s="6">
        <v>106.81241689965901</v>
      </c>
      <c r="P552" s="67">
        <v>1.3309427000000003</v>
      </c>
      <c r="Q552" s="7">
        <v>0.28790936648181875</v>
      </c>
      <c r="R552" s="67">
        <v>1.9223666821145817</v>
      </c>
      <c r="S552" s="7">
        <v>0.43947447488198299</v>
      </c>
      <c r="T552" s="171">
        <f t="shared" si="16"/>
        <v>1.3592263378506619</v>
      </c>
      <c r="U552" s="171">
        <f t="shared" si="17"/>
        <v>0.35720957430611516</v>
      </c>
    </row>
    <row r="553" spans="1:21" s="42" customFormat="1">
      <c r="A553" s="5">
        <v>907</v>
      </c>
      <c r="B553" s="28">
        <v>148.41399999999999</v>
      </c>
      <c r="C553" s="5" t="s">
        <v>138</v>
      </c>
      <c r="D553" s="5">
        <v>104</v>
      </c>
      <c r="E553" s="5">
        <v>3</v>
      </c>
      <c r="F553" s="24">
        <v>50.594000000000001</v>
      </c>
      <c r="G553" s="24">
        <v>-144.94900000000001</v>
      </c>
      <c r="H553" s="5">
        <v>4</v>
      </c>
      <c r="I553" s="25">
        <v>43344.013194444444</v>
      </c>
      <c r="J553" s="26">
        <v>43344.013194444444</v>
      </c>
      <c r="K553" s="7">
        <v>2.3283573</v>
      </c>
      <c r="L553" s="7">
        <v>2.4643631110349111</v>
      </c>
      <c r="M553" s="7">
        <v>0.12613599567422382</v>
      </c>
      <c r="N553" s="6">
        <v>1307.6196888831641</v>
      </c>
      <c r="O553" s="6">
        <v>165.80893724615174</v>
      </c>
      <c r="P553" s="67">
        <v>1.1275186000000001</v>
      </c>
      <c r="Q553" s="7">
        <v>0.28698433035385884</v>
      </c>
      <c r="R553" s="67">
        <v>1.474365520941981</v>
      </c>
      <c r="S553" s="7">
        <v>0.41925665039893883</v>
      </c>
      <c r="T553" s="171">
        <f t="shared" si="16"/>
        <v>1.0424631608153336</v>
      </c>
      <c r="U553" s="171">
        <f t="shared" si="17"/>
        <v>0.32578536836821481</v>
      </c>
    </row>
    <row r="554" spans="1:21" s="42" customFormat="1">
      <c r="A554" s="5">
        <v>908</v>
      </c>
      <c r="B554" s="28">
        <v>198.19200000000001</v>
      </c>
      <c r="C554" s="5" t="s">
        <v>138</v>
      </c>
      <c r="D554" s="5">
        <v>104</v>
      </c>
      <c r="E554" s="5">
        <v>3</v>
      </c>
      <c r="F554" s="24">
        <v>50.594000000000001</v>
      </c>
      <c r="G554" s="24">
        <v>-144.94900000000001</v>
      </c>
      <c r="H554" s="5">
        <v>3</v>
      </c>
      <c r="I554" s="25">
        <v>43344.013194444444</v>
      </c>
      <c r="J554" s="26">
        <v>43344.013194444444</v>
      </c>
      <c r="K554" s="7">
        <v>2.3367596400000004</v>
      </c>
      <c r="L554" s="7">
        <v>2.3980972530535274</v>
      </c>
      <c r="M554" s="7">
        <v>8.9002440732442095E-2</v>
      </c>
      <c r="N554" s="6">
        <v>1146.2011323841552</v>
      </c>
      <c r="O554" s="6">
        <v>286.97169885998869</v>
      </c>
      <c r="P554" s="67">
        <v>1.0299544</v>
      </c>
      <c r="Q554" s="7">
        <v>6.768804287280647E-2</v>
      </c>
      <c r="R554" s="67">
        <v>1.1805348995840432</v>
      </c>
      <c r="S554" s="7">
        <v>0.30558075431319243</v>
      </c>
      <c r="T554" s="171">
        <f t="shared" si="16"/>
        <v>0.83470762534307996</v>
      </c>
      <c r="U554" s="171">
        <f t="shared" si="17"/>
        <v>0.24164127439070218</v>
      </c>
    </row>
    <row r="555" spans="1:21" s="42" customFormat="1">
      <c r="A555" s="5">
        <v>909</v>
      </c>
      <c r="B555" s="28">
        <v>331.42099999999999</v>
      </c>
      <c r="C555" s="5" t="s">
        <v>138</v>
      </c>
      <c r="D555" s="5">
        <v>104</v>
      </c>
      <c r="E555" s="5">
        <v>3</v>
      </c>
      <c r="F555" s="24">
        <v>50.594000000000001</v>
      </c>
      <c r="G555" s="24">
        <v>-144.94900000000001</v>
      </c>
      <c r="H555" s="5">
        <v>2</v>
      </c>
      <c r="I555" s="25">
        <v>43344.013194444444</v>
      </c>
      <c r="J555" s="26">
        <v>43344.013194444444</v>
      </c>
      <c r="K555" s="7">
        <v>2.3512770600000001</v>
      </c>
      <c r="L555" s="7">
        <v>2.0474662819184597</v>
      </c>
      <c r="M555" s="7">
        <v>8.0885662508057232E-2</v>
      </c>
      <c r="N555" s="6">
        <v>2474.302918586206</v>
      </c>
      <c r="O555" s="6">
        <v>455.38830024114299</v>
      </c>
      <c r="P555" s="67">
        <v>0.92943160000000002</v>
      </c>
      <c r="Q555" s="7">
        <v>0.14897110087473561</v>
      </c>
      <c r="R555" s="67">
        <v>2.2996953205062471</v>
      </c>
      <c r="S555" s="7">
        <v>0.56125589224023953</v>
      </c>
      <c r="T555" s="171">
        <f t="shared" si="16"/>
        <v>1.6260198835872763</v>
      </c>
      <c r="U555" s="171">
        <f t="shared" si="17"/>
        <v>0.44934172967012126</v>
      </c>
    </row>
    <row r="556" spans="1:21" s="42" customFormat="1">
      <c r="A556" s="5">
        <v>910</v>
      </c>
      <c r="B556" s="28">
        <v>502.18900000000002</v>
      </c>
      <c r="C556" s="5" t="s">
        <v>138</v>
      </c>
      <c r="D556" s="5">
        <v>104</v>
      </c>
      <c r="E556" s="5">
        <v>3</v>
      </c>
      <c r="F556" s="24">
        <v>50.594000000000001</v>
      </c>
      <c r="G556" s="24">
        <v>-144.94900000000001</v>
      </c>
      <c r="H556" s="5">
        <v>1</v>
      </c>
      <c r="I556" s="25">
        <v>43344.013194444444</v>
      </c>
      <c r="J556" s="26">
        <v>43344.013194444444</v>
      </c>
      <c r="K556" s="7">
        <v>2.3654958000000001</v>
      </c>
      <c r="L556" s="7">
        <v>2.2022058460385789</v>
      </c>
      <c r="M556" s="7">
        <v>8.3567828383432741E-2</v>
      </c>
      <c r="N556" s="6">
        <v>2875.2848881654536</v>
      </c>
      <c r="O556" s="6">
        <v>499.49054717466311</v>
      </c>
      <c r="P556" s="68">
        <v>0.87680272990205399</v>
      </c>
      <c r="Q556" s="7">
        <v>0.15828163628098546</v>
      </c>
      <c r="R556" s="67">
        <v>2.5210576391895914</v>
      </c>
      <c r="S556" s="7">
        <v>0.63160483989115912</v>
      </c>
      <c r="T556" s="171">
        <f t="shared" si="16"/>
        <v>1.7825360657295546</v>
      </c>
      <c r="U556" s="171">
        <f t="shared" si="17"/>
        <v>0.50281674059156012</v>
      </c>
    </row>
    <row r="557" spans="1:21" s="42" customFormat="1">
      <c r="A557" s="5">
        <v>957</v>
      </c>
      <c r="B557" s="28">
        <v>5.7</v>
      </c>
      <c r="C557" s="5" t="s">
        <v>123</v>
      </c>
      <c r="D557" s="5">
        <v>106</v>
      </c>
      <c r="E557" s="5">
        <v>3</v>
      </c>
      <c r="F557" s="24">
        <v>50.695</v>
      </c>
      <c r="G557" s="24">
        <v>-144.94900000000001</v>
      </c>
      <c r="H557" s="5">
        <v>24</v>
      </c>
      <c r="I557" s="25">
        <v>43344.128472222219</v>
      </c>
      <c r="J557" s="26">
        <v>43344.128472222219</v>
      </c>
      <c r="K557" s="7">
        <v>2.2235677800000002</v>
      </c>
      <c r="L557" s="7">
        <v>1.4159458158216314</v>
      </c>
      <c r="M557" s="7">
        <v>6.2728853939799475E-2</v>
      </c>
      <c r="N557" s="6">
        <v>359.1274716953771</v>
      </c>
      <c r="O557" s="6">
        <v>27.89381135847043</v>
      </c>
      <c r="P557" s="7">
        <v>5.3045246601367619</v>
      </c>
      <c r="Q557" s="7">
        <v>1.8998610814664527</v>
      </c>
      <c r="R557" s="67">
        <v>1.9050005297406947</v>
      </c>
      <c r="S557" s="7">
        <v>0.69815181918118563</v>
      </c>
      <c r="T557" s="171">
        <f t="shared" si="16"/>
        <v>1.3469474464646802</v>
      </c>
      <c r="U557" s="171">
        <f t="shared" si="17"/>
        <v>0.52360239337607573</v>
      </c>
    </row>
    <row r="558" spans="1:21" s="42" customFormat="1">
      <c r="A558" s="5">
        <v>956</v>
      </c>
      <c r="B558" s="28">
        <v>25.222999999999999</v>
      </c>
      <c r="C558" s="5" t="s">
        <v>123</v>
      </c>
      <c r="D558" s="5">
        <v>106</v>
      </c>
      <c r="E558" s="5">
        <v>3</v>
      </c>
      <c r="F558" s="24">
        <v>50.695</v>
      </c>
      <c r="G558" s="24">
        <v>-144.94900000000001</v>
      </c>
      <c r="H558" s="5">
        <v>20</v>
      </c>
      <c r="I558" s="25">
        <v>43344.128472222219</v>
      </c>
      <c r="J558" s="26">
        <v>43344.128472222219</v>
      </c>
      <c r="K558" s="7">
        <v>2.2234655999999999</v>
      </c>
      <c r="L558" s="7">
        <v>1.4456791028925051</v>
      </c>
      <c r="M558" s="7">
        <v>6.0105983397986597E-2</v>
      </c>
      <c r="N558" s="6">
        <v>852.85912220052057</v>
      </c>
      <c r="O558" s="6">
        <v>47.263594941765732</v>
      </c>
      <c r="P558" s="7">
        <v>5.3045246601367619</v>
      </c>
      <c r="Q558" s="7">
        <v>1.8998610814664527</v>
      </c>
      <c r="R558" s="67">
        <v>4.5240122453352534</v>
      </c>
      <c r="S558" s="7">
        <v>1.6395953598627075</v>
      </c>
      <c r="T558" s="171">
        <f t="shared" si="16"/>
        <v>3.1987428068897783</v>
      </c>
      <c r="U558" s="171">
        <f t="shared" si="17"/>
        <v>1.2312101169986009</v>
      </c>
    </row>
    <row r="559" spans="1:21" s="42" customFormat="1">
      <c r="A559" s="5">
        <v>955</v>
      </c>
      <c r="B559" s="28">
        <v>49.843999999999902</v>
      </c>
      <c r="C559" s="5" t="s">
        <v>123</v>
      </c>
      <c r="D559" s="5">
        <v>106</v>
      </c>
      <c r="E559" s="5">
        <v>3</v>
      </c>
      <c r="F559" s="24">
        <v>50.695</v>
      </c>
      <c r="G559" s="24">
        <v>-144.94900000000001</v>
      </c>
      <c r="H559" s="5">
        <v>17</v>
      </c>
      <c r="I559" s="25">
        <v>43344.128472222219</v>
      </c>
      <c r="J559" s="26">
        <v>43344.128472222219</v>
      </c>
      <c r="K559" s="7">
        <v>2.2365603600000004</v>
      </c>
      <c r="L559" s="7">
        <v>1.6185282327321184</v>
      </c>
      <c r="M559" s="7">
        <v>6.6091687657645684E-2</v>
      </c>
      <c r="N559" s="6">
        <v>1203.7831285820887</v>
      </c>
      <c r="O559" s="6">
        <v>60.350275094892552</v>
      </c>
      <c r="P559" s="7">
        <v>5.3045246601367619</v>
      </c>
      <c r="Q559" s="7">
        <v>1.8998610814664527</v>
      </c>
      <c r="R559" s="67">
        <v>6.3854972910202727</v>
      </c>
      <c r="S559" s="7">
        <v>2.3093173599475101</v>
      </c>
      <c r="T559" s="171">
        <f t="shared" si="16"/>
        <v>4.5149222460938807</v>
      </c>
      <c r="U559" s="171">
        <f t="shared" si="17"/>
        <v>1.7345391657514606</v>
      </c>
    </row>
    <row r="560" spans="1:21" s="42" customFormat="1">
      <c r="A560" s="5">
        <v>954</v>
      </c>
      <c r="B560" s="28">
        <v>64.709000000000003</v>
      </c>
      <c r="C560" s="5" t="s">
        <v>123</v>
      </c>
      <c r="D560" s="5">
        <v>106</v>
      </c>
      <c r="E560" s="5">
        <v>3</v>
      </c>
      <c r="F560" s="24">
        <v>50.695</v>
      </c>
      <c r="G560" s="24">
        <v>-144.94900000000001</v>
      </c>
      <c r="H560" s="5">
        <v>14</v>
      </c>
      <c r="I560" s="25">
        <v>43344.128472222219</v>
      </c>
      <c r="J560" s="26">
        <v>43344.128472222219</v>
      </c>
      <c r="K560" s="7">
        <v>2.2401838199999999</v>
      </c>
      <c r="L560" s="7">
        <v>1.9785354019294947</v>
      </c>
      <c r="M560" s="7">
        <v>0.11167978750036667</v>
      </c>
      <c r="N560" s="6">
        <v>1297.3641343341983</v>
      </c>
      <c r="O560" s="6">
        <v>72.371435126623652</v>
      </c>
      <c r="P560" s="67">
        <v>4.2198466999999988</v>
      </c>
      <c r="Q560" s="7">
        <v>1.2687919370828369</v>
      </c>
      <c r="R560" s="67">
        <v>5.4746777609685227</v>
      </c>
      <c r="S560" s="7">
        <v>1.6741753997129205</v>
      </c>
      <c r="T560" s="171">
        <f t="shared" si="16"/>
        <v>3.8709192544724775</v>
      </c>
      <c r="U560" s="171">
        <f t="shared" si="17"/>
        <v>1.2856955494971607</v>
      </c>
    </row>
    <row r="561" spans="1:21" s="42" customFormat="1">
      <c r="A561" s="5">
        <v>953</v>
      </c>
      <c r="B561" s="28">
        <v>74.715999999999994</v>
      </c>
      <c r="C561" s="5" t="s">
        <v>123</v>
      </c>
      <c r="D561" s="5">
        <v>106</v>
      </c>
      <c r="E561" s="5">
        <v>3</v>
      </c>
      <c r="F561" s="24">
        <v>50.695</v>
      </c>
      <c r="G561" s="24">
        <v>-144.94900000000001</v>
      </c>
      <c r="H561" s="5">
        <v>11</v>
      </c>
      <c r="I561" s="25">
        <v>43344.128472222219</v>
      </c>
      <c r="J561" s="26">
        <v>43344.128472222219</v>
      </c>
      <c r="K561" s="7">
        <v>2.2426440000000003</v>
      </c>
      <c r="L561" s="7">
        <v>1.9259706137432673</v>
      </c>
      <c r="M561" s="7">
        <v>0.10910242384777614</v>
      </c>
      <c r="N561" s="6">
        <v>1436.0581029908808</v>
      </c>
      <c r="O561" s="6">
        <v>86.723199130164218</v>
      </c>
      <c r="P561" s="67">
        <v>3.4823307999999997</v>
      </c>
      <c r="Q561" s="7">
        <v>0.9108215756376048</v>
      </c>
      <c r="R561" s="67">
        <v>5.0008293626347156</v>
      </c>
      <c r="S561" s="7">
        <v>1.3424038996603072</v>
      </c>
      <c r="T561" s="171">
        <f t="shared" si="16"/>
        <v>3.5358805601609449</v>
      </c>
      <c r="U561" s="171">
        <f t="shared" si="17"/>
        <v>1.0540286912104948</v>
      </c>
    </row>
    <row r="562" spans="1:21" s="42" customFormat="1">
      <c r="A562" s="5">
        <v>952</v>
      </c>
      <c r="B562" s="28">
        <v>95.165999999999997</v>
      </c>
      <c r="C562" s="5" t="s">
        <v>123</v>
      </c>
      <c r="D562" s="5">
        <v>106</v>
      </c>
      <c r="E562" s="5">
        <v>3</v>
      </c>
      <c r="F562" s="24">
        <v>50.695</v>
      </c>
      <c r="G562" s="24">
        <v>-144.94900000000001</v>
      </c>
      <c r="H562" s="5">
        <v>10</v>
      </c>
      <c r="I562" s="25">
        <v>43344.128472222219</v>
      </c>
      <c r="J562" s="26">
        <v>43344.128472222219</v>
      </c>
      <c r="K562" s="7">
        <v>2.2534357800000002</v>
      </c>
      <c r="L562" s="7">
        <v>1.8881237711989938</v>
      </c>
      <c r="M562" s="7">
        <v>8.3226837515331276E-2</v>
      </c>
      <c r="N562" s="6">
        <v>1616.8255100620445</v>
      </c>
      <c r="O562" s="6">
        <v>96.00502691377767</v>
      </c>
      <c r="P562" s="67">
        <v>1.9751657999999992</v>
      </c>
      <c r="Q562" s="7">
        <v>0.35872192130037467</v>
      </c>
      <c r="R562" s="67">
        <v>3.193498452042105</v>
      </c>
      <c r="S562" s="7">
        <v>0.6102026183110012</v>
      </c>
      <c r="T562" s="171">
        <f t="shared" si="16"/>
        <v>2.2579912803764581</v>
      </c>
      <c r="U562" s="171">
        <f t="shared" si="17"/>
        <v>0.52136090727006035</v>
      </c>
    </row>
    <row r="563" spans="1:21" s="42" customFormat="1">
      <c r="A563" s="5">
        <v>951</v>
      </c>
      <c r="B563" s="28">
        <v>109.127</v>
      </c>
      <c r="C563" s="5" t="s">
        <v>123</v>
      </c>
      <c r="D563" s="5">
        <v>106</v>
      </c>
      <c r="E563" s="5">
        <v>3</v>
      </c>
      <c r="F563" s="24">
        <v>50.695</v>
      </c>
      <c r="G563" s="24">
        <v>-144.94900000000001</v>
      </c>
      <c r="H563" s="5">
        <v>7</v>
      </c>
      <c r="I563" s="25">
        <v>43344.128472222219</v>
      </c>
      <c r="J563" s="26">
        <v>43344.128472222219</v>
      </c>
      <c r="K563" s="7">
        <v>2.2751058000000004</v>
      </c>
      <c r="L563" s="7">
        <v>2.2646924377947615</v>
      </c>
      <c r="M563" s="7">
        <v>8.6106699355965197E-2</v>
      </c>
      <c r="N563" s="6">
        <v>1621.2170567054363</v>
      </c>
      <c r="O563" s="6">
        <v>102.64310636960843</v>
      </c>
      <c r="P563" s="67">
        <v>1.5243173000000001</v>
      </c>
      <c r="Q563" s="7">
        <v>0.27437699053029874</v>
      </c>
      <c r="R563" s="67">
        <v>2.4712492065911777</v>
      </c>
      <c r="S563" s="7">
        <v>0.47153887907738451</v>
      </c>
      <c r="T563" s="171">
        <f t="shared" si="16"/>
        <v>1.7473185736325978</v>
      </c>
      <c r="U563" s="171">
        <f t="shared" si="17"/>
        <v>0.40306325132676074</v>
      </c>
    </row>
    <row r="564" spans="1:21" s="42" customFormat="1">
      <c r="A564" s="5">
        <v>950</v>
      </c>
      <c r="B564" s="28">
        <v>124.49299999999999</v>
      </c>
      <c r="C564" s="5" t="s">
        <v>123</v>
      </c>
      <c r="D564" s="5">
        <v>106</v>
      </c>
      <c r="E564" s="5">
        <v>3</v>
      </c>
      <c r="F564" s="24">
        <v>50.695</v>
      </c>
      <c r="G564" s="24">
        <v>-144.94900000000001</v>
      </c>
      <c r="H564" s="5">
        <v>6</v>
      </c>
      <c r="I564" s="25">
        <v>43344.128472222219</v>
      </c>
      <c r="J564" s="26">
        <v>43344.128472222219</v>
      </c>
      <c r="K564" s="7">
        <v>2.30774838</v>
      </c>
      <c r="L564" s="7">
        <v>2.2998081212264143</v>
      </c>
      <c r="M564" s="7">
        <v>0.12500498067159901</v>
      </c>
      <c r="N564" s="6">
        <v>1625.8090708118955</v>
      </c>
      <c r="O564" s="6">
        <v>125.54631081369152</v>
      </c>
      <c r="P564" s="67">
        <v>1.3691207000000001</v>
      </c>
      <c r="Q564" s="7">
        <v>0.28635052785997472</v>
      </c>
      <c r="R564" s="67">
        <v>2.2259288530963324</v>
      </c>
      <c r="S564" s="7">
        <v>0.49626958630694762</v>
      </c>
      <c r="T564" s="171">
        <f t="shared" si="16"/>
        <v>1.5738626514178817</v>
      </c>
      <c r="U564" s="171">
        <f t="shared" si="17"/>
        <v>0.40588914451020663</v>
      </c>
    </row>
    <row r="565" spans="1:21" s="42" customFormat="1">
      <c r="A565" s="5">
        <v>949</v>
      </c>
      <c r="B565" s="28">
        <v>149.34399999999999</v>
      </c>
      <c r="C565" s="5" t="s">
        <v>123</v>
      </c>
      <c r="D565" s="5">
        <v>106</v>
      </c>
      <c r="E565" s="5">
        <v>3</v>
      </c>
      <c r="F565" s="24">
        <v>50.695</v>
      </c>
      <c r="G565" s="24">
        <v>-144.94900000000001</v>
      </c>
      <c r="H565" s="5">
        <v>5</v>
      </c>
      <c r="I565" s="25">
        <v>43344.128472222219</v>
      </c>
      <c r="J565" s="26">
        <v>43344.128472222219</v>
      </c>
      <c r="K565" s="7">
        <v>2.3276970600000002</v>
      </c>
      <c r="L565" s="7">
        <v>2.0766521237560793</v>
      </c>
      <c r="M565" s="7">
        <v>0.11477431465757323</v>
      </c>
      <c r="N565" s="6">
        <v>1880.1859557840255</v>
      </c>
      <c r="O565" s="6">
        <v>171.13449774645468</v>
      </c>
      <c r="P565" s="67">
        <v>1.1181256000000002</v>
      </c>
      <c r="Q565" s="7">
        <v>0.28656616324494083</v>
      </c>
      <c r="R565" s="67">
        <v>2.102284049922587</v>
      </c>
      <c r="S565" s="7">
        <v>0.57176717746212924</v>
      </c>
      <c r="T565" s="171">
        <f t="shared" si="16"/>
        <v>1.4864385015011499</v>
      </c>
      <c r="U565" s="171">
        <f t="shared" si="17"/>
        <v>0.44784168396606583</v>
      </c>
    </row>
    <row r="566" spans="1:21" s="42" customFormat="1">
      <c r="A566" s="5">
        <v>948</v>
      </c>
      <c r="B566" s="28">
        <v>194.95699999999999</v>
      </c>
      <c r="C566" s="5" t="s">
        <v>123</v>
      </c>
      <c r="D566" s="5">
        <v>106</v>
      </c>
      <c r="E566" s="5">
        <v>3</v>
      </c>
      <c r="F566" s="24">
        <v>50.695</v>
      </c>
      <c r="G566" s="24">
        <v>-144.94900000000001</v>
      </c>
      <c r="H566" s="5">
        <v>3</v>
      </c>
      <c r="I566" s="25">
        <v>43344.128472222219</v>
      </c>
      <c r="J566" s="26">
        <v>43344.128472222219</v>
      </c>
      <c r="K566" s="7">
        <v>2.3368146600000004</v>
      </c>
      <c r="L566" s="7">
        <v>2.8418416047586539</v>
      </c>
      <c r="M566" s="7">
        <v>0.10407869448529786</v>
      </c>
      <c r="N566" s="6">
        <v>560.57748726689692</v>
      </c>
      <c r="O566" s="6">
        <v>321.31751987033499</v>
      </c>
      <c r="P566" s="67">
        <v>1.0357774000000002</v>
      </c>
      <c r="Q566" s="7">
        <v>8.1413373503092537E-2</v>
      </c>
      <c r="R566" s="67">
        <v>0.58063349225983973</v>
      </c>
      <c r="S566" s="7">
        <v>0.33592804161440659</v>
      </c>
      <c r="T566" s="171">
        <f t="shared" si="16"/>
        <v>0.41054203792673827</v>
      </c>
      <c r="U566" s="171">
        <f t="shared" si="17"/>
        <v>0.24340947887078812</v>
      </c>
    </row>
    <row r="567" spans="1:21" s="42" customFormat="1">
      <c r="A567" s="5">
        <v>947</v>
      </c>
      <c r="B567" s="28">
        <v>331.05099999999999</v>
      </c>
      <c r="C567" s="5" t="s">
        <v>123</v>
      </c>
      <c r="D567" s="5">
        <v>106</v>
      </c>
      <c r="E567" s="5">
        <v>3</v>
      </c>
      <c r="F567" s="24">
        <v>50.695</v>
      </c>
      <c r="G567" s="24">
        <v>-144.94900000000001</v>
      </c>
      <c r="H567" s="5">
        <v>2</v>
      </c>
      <c r="I567" s="25">
        <v>43344.128472222219</v>
      </c>
      <c r="J567" s="26">
        <v>43344.128472222219</v>
      </c>
      <c r="K567" s="7">
        <v>2.3496500400000002</v>
      </c>
      <c r="L567" s="7">
        <v>2.2003110646361699</v>
      </c>
      <c r="M567" s="7">
        <v>0.11599716935988995</v>
      </c>
      <c r="N567" s="6">
        <v>852.83859908621218</v>
      </c>
      <c r="O567" s="6">
        <v>393.41905416272436</v>
      </c>
      <c r="P567" s="67">
        <v>0.92957960000000006</v>
      </c>
      <c r="Q567" s="7">
        <v>0.1489532053233116</v>
      </c>
      <c r="R567" s="67">
        <v>0.79278136380312147</v>
      </c>
      <c r="S567" s="7">
        <v>0.38714901908279148</v>
      </c>
      <c r="T567" s="171">
        <f t="shared" si="16"/>
        <v>0.5605430638514064</v>
      </c>
      <c r="U567" s="171">
        <f t="shared" si="17"/>
        <v>0.28321645427197251</v>
      </c>
    </row>
    <row r="568" spans="1:21" s="42" customFormat="1">
      <c r="A568" s="5">
        <v>959</v>
      </c>
      <c r="B568" s="28">
        <v>19.762</v>
      </c>
      <c r="C568" s="5" t="s">
        <v>126</v>
      </c>
      <c r="D568" s="5">
        <v>107</v>
      </c>
      <c r="E568" s="5">
        <v>3</v>
      </c>
      <c r="F568" s="24">
        <v>50.694000000000003</v>
      </c>
      <c r="G568" s="24">
        <v>-144.78800000000001</v>
      </c>
      <c r="H568" s="5">
        <v>12</v>
      </c>
      <c r="I568" s="25">
        <v>43344.384027777778</v>
      </c>
      <c r="J568" s="26">
        <v>43344.384027777778</v>
      </c>
      <c r="K568" s="7">
        <v>2.2235206200000004</v>
      </c>
      <c r="L568" s="7">
        <v>1.3100783889351111</v>
      </c>
      <c r="M568" s="7">
        <v>5.8179603405361678E-2</v>
      </c>
      <c r="N568" s="6">
        <v>916.3710191591955</v>
      </c>
      <c r="O568" s="6">
        <v>58.36614583135227</v>
      </c>
      <c r="P568" s="7">
        <v>5.3045246601367619</v>
      </c>
      <c r="Q568" s="7">
        <v>1.8998610814664527</v>
      </c>
      <c r="R568" s="67">
        <v>4.8609126689646098</v>
      </c>
      <c r="S568" s="7">
        <v>1.7682924454613409</v>
      </c>
      <c r="T568" s="171">
        <f t="shared" si="16"/>
        <v>3.4369512263815034</v>
      </c>
      <c r="U568" s="171">
        <f t="shared" si="17"/>
        <v>1.3272907895067927</v>
      </c>
    </row>
    <row r="569" spans="1:21" s="42" customFormat="1">
      <c r="A569" s="5">
        <v>961</v>
      </c>
      <c r="B569" s="28">
        <v>50.001999999999903</v>
      </c>
      <c r="C569" s="5" t="s">
        <v>126</v>
      </c>
      <c r="D569" s="5">
        <v>107</v>
      </c>
      <c r="E569" s="5">
        <v>3</v>
      </c>
      <c r="F569" s="24">
        <v>50.694000000000003</v>
      </c>
      <c r="G569" s="24">
        <v>-144.78800000000001</v>
      </c>
      <c r="H569" s="5">
        <v>10</v>
      </c>
      <c r="I569" s="25">
        <v>43344.384027777778</v>
      </c>
      <c r="J569" s="26">
        <v>43344.384027777778</v>
      </c>
      <c r="K569" s="7">
        <v>2.2352477400000001</v>
      </c>
      <c r="L569" s="7">
        <v>1.6604763412091126</v>
      </c>
      <c r="M569" s="7">
        <v>6.9341097766313267E-2</v>
      </c>
      <c r="N569" s="6">
        <v>1288.9254822703751</v>
      </c>
      <c r="O569" s="6">
        <v>73.666116674353859</v>
      </c>
      <c r="P569" s="7">
        <v>5.3045246601367619</v>
      </c>
      <c r="Q569" s="7">
        <v>1.8998610814664527</v>
      </c>
      <c r="R569" s="67">
        <v>6.8371370057818739</v>
      </c>
      <c r="S569" s="7">
        <v>2.4797614102815686</v>
      </c>
      <c r="T569" s="171">
        <f t="shared" si="16"/>
        <v>4.8342580945741851</v>
      </c>
      <c r="U569" s="171">
        <f t="shared" si="17"/>
        <v>1.8619534383744101</v>
      </c>
    </row>
    <row r="570" spans="1:21" s="42" customFormat="1">
      <c r="A570" s="5">
        <v>962</v>
      </c>
      <c r="B570" s="28">
        <v>64.837000000000003</v>
      </c>
      <c r="C570" s="5" t="s">
        <v>126</v>
      </c>
      <c r="D570" s="5">
        <v>107</v>
      </c>
      <c r="E570" s="5">
        <v>3</v>
      </c>
      <c r="F570" s="24">
        <v>50.694000000000003</v>
      </c>
      <c r="G570" s="24">
        <v>-144.78800000000001</v>
      </c>
      <c r="H570" s="5">
        <v>9</v>
      </c>
      <c r="I570" s="25">
        <v>43344.384027777778</v>
      </c>
      <c r="J570" s="26">
        <v>43344.384027777778</v>
      </c>
      <c r="K570" s="7">
        <v>2.2395628799999998</v>
      </c>
      <c r="L570" s="7">
        <v>1.759720895655303</v>
      </c>
      <c r="M570" s="7">
        <v>7.2468313399068382E-2</v>
      </c>
      <c r="N570" s="6">
        <v>1500.3039953005898</v>
      </c>
      <c r="O570" s="6">
        <v>80.285788039830138</v>
      </c>
      <c r="P570" s="67">
        <v>4.2104130999999985</v>
      </c>
      <c r="Q570" s="7">
        <v>1.263848824192187</v>
      </c>
      <c r="R570" s="67">
        <v>6.31689959579594</v>
      </c>
      <c r="S570" s="7">
        <v>1.9260533745610202</v>
      </c>
      <c r="T570" s="171">
        <f t="shared" si="16"/>
        <v>4.4664196399406135</v>
      </c>
      <c r="U570" s="171">
        <f t="shared" si="17"/>
        <v>1.4797919125131087</v>
      </c>
    </row>
    <row r="571" spans="1:21" s="42" customFormat="1">
      <c r="A571" s="5">
        <v>963</v>
      </c>
      <c r="B571" s="28">
        <v>80.635999999999996</v>
      </c>
      <c r="C571" s="5" t="s">
        <v>126</v>
      </c>
      <c r="D571" s="5">
        <v>107</v>
      </c>
      <c r="E571" s="5">
        <v>3</v>
      </c>
      <c r="F571" s="24">
        <v>50.694000000000003</v>
      </c>
      <c r="G571" s="24">
        <v>-144.78800000000001</v>
      </c>
      <c r="H571" s="5">
        <v>8</v>
      </c>
      <c r="I571" s="25">
        <v>43344.384027777778</v>
      </c>
      <c r="J571" s="26">
        <v>43344.384027777778</v>
      </c>
      <c r="K571" s="7">
        <v>2.2420073400000002</v>
      </c>
      <c r="L571" s="7">
        <v>2.0288730984921051</v>
      </c>
      <c r="M571" s="7">
        <v>7.9109440488136271E-2</v>
      </c>
      <c r="N571" s="6">
        <v>1641.6803367835216</v>
      </c>
      <c r="O571" s="6">
        <v>95.913635542001416</v>
      </c>
      <c r="P571" s="67">
        <v>3.046026799999999</v>
      </c>
      <c r="Q571" s="7">
        <v>0.7262150557878766</v>
      </c>
      <c r="R571" s="67">
        <v>5.000602302875631</v>
      </c>
      <c r="S571" s="7">
        <v>1.2274879315548812</v>
      </c>
      <c r="T571" s="171">
        <f t="shared" si="16"/>
        <v>3.5357200155532564</v>
      </c>
      <c r="U571" s="171">
        <f t="shared" si="17"/>
        <v>0.98148694729416863</v>
      </c>
    </row>
    <row r="572" spans="1:21" s="42" customFormat="1">
      <c r="A572" s="5">
        <v>965</v>
      </c>
      <c r="B572" s="28">
        <v>110.965</v>
      </c>
      <c r="C572" s="5" t="s">
        <v>126</v>
      </c>
      <c r="D572" s="5">
        <v>107</v>
      </c>
      <c r="E572" s="5">
        <v>3</v>
      </c>
      <c r="F572" s="24">
        <v>50.694000000000003</v>
      </c>
      <c r="G572" s="24">
        <v>-144.78800000000001</v>
      </c>
      <c r="H572" s="5">
        <v>6</v>
      </c>
      <c r="I572" s="25">
        <v>43344.384027777778</v>
      </c>
      <c r="J572" s="26">
        <v>43344.384027777778</v>
      </c>
      <c r="K572" s="7">
        <v>2.2664833799999999</v>
      </c>
      <c r="L572" s="7">
        <v>2.2247589111752761</v>
      </c>
      <c r="M572" s="7">
        <v>8.4380118781447355E-2</v>
      </c>
      <c r="N572" s="6">
        <v>1668.1036426149074</v>
      </c>
      <c r="O572" s="6">
        <v>109.79464830424506</v>
      </c>
      <c r="P572" s="67">
        <v>1.5057535</v>
      </c>
      <c r="Q572" s="7">
        <v>0.2762855976818675</v>
      </c>
      <c r="R572" s="67">
        <v>2.5117528982301458</v>
      </c>
      <c r="S572" s="7">
        <v>0.48962827831736211</v>
      </c>
      <c r="T572" s="171">
        <f t="shared" si="16"/>
        <v>1.7759570664696191</v>
      </c>
      <c r="U572" s="171">
        <f t="shared" si="17"/>
        <v>0.41574954612121484</v>
      </c>
    </row>
    <row r="573" spans="1:21" s="42" customFormat="1">
      <c r="A573" s="5">
        <v>966</v>
      </c>
      <c r="B573" s="28">
        <v>124.675</v>
      </c>
      <c r="C573" s="5" t="s">
        <v>126</v>
      </c>
      <c r="D573" s="5">
        <v>107</v>
      </c>
      <c r="E573" s="5">
        <v>3</v>
      </c>
      <c r="F573" s="24">
        <v>50.694000000000003</v>
      </c>
      <c r="G573" s="24">
        <v>-144.78800000000001</v>
      </c>
      <c r="H573" s="5">
        <v>5</v>
      </c>
      <c r="I573" s="25">
        <v>43344.384027777778</v>
      </c>
      <c r="J573" s="26">
        <v>43344.384027777778</v>
      </c>
      <c r="K573" s="7">
        <v>2.3002027800000002</v>
      </c>
      <c r="L573" s="7">
        <v>2.4048190261494904</v>
      </c>
      <c r="M573" s="7">
        <v>8.8910724004544792E-2</v>
      </c>
      <c r="N573" s="6">
        <v>1607.6305102690353</v>
      </c>
      <c r="O573" s="6">
        <v>121.22817149193826</v>
      </c>
      <c r="P573" s="67">
        <v>1.3672825000000002</v>
      </c>
      <c r="Q573" s="7">
        <v>0.28643812951418757</v>
      </c>
      <c r="R573" s="67">
        <v>2.1980850631569222</v>
      </c>
      <c r="S573" s="7">
        <v>0.48940993884921041</v>
      </c>
      <c r="T573" s="171">
        <f t="shared" si="16"/>
        <v>1.5541754538694945</v>
      </c>
      <c r="U573" s="171">
        <f t="shared" si="17"/>
        <v>0.40041353868736523</v>
      </c>
    </row>
    <row r="574" spans="1:21" s="42" customFormat="1">
      <c r="A574" s="5">
        <v>967</v>
      </c>
      <c r="B574" s="28">
        <v>151.16299999999899</v>
      </c>
      <c r="C574" s="5" t="s">
        <v>126</v>
      </c>
      <c r="D574" s="5">
        <v>107</v>
      </c>
      <c r="E574" s="5">
        <v>3</v>
      </c>
      <c r="F574" s="24">
        <v>50.694000000000003</v>
      </c>
      <c r="G574" s="24">
        <v>-144.78800000000001</v>
      </c>
      <c r="H574" s="5">
        <v>4</v>
      </c>
      <c r="I574" s="25">
        <v>43344.384027777778</v>
      </c>
      <c r="J574" s="26">
        <v>43344.384027777778</v>
      </c>
      <c r="K574" s="7">
        <v>2.3294577000000003</v>
      </c>
      <c r="L574" s="7">
        <v>2.3074134944288232</v>
      </c>
      <c r="M574" s="7">
        <v>8.8431640364623129E-2</v>
      </c>
      <c r="N574" s="6">
        <v>1630.1276934028126</v>
      </c>
      <c r="O574" s="6">
        <v>151.13276639002927</v>
      </c>
      <c r="P574" s="67">
        <v>1.1146066000000019</v>
      </c>
      <c r="Q574" s="7">
        <v>0.28198313556336946</v>
      </c>
      <c r="R574" s="67">
        <v>1.8169510859095543</v>
      </c>
      <c r="S574" s="7">
        <v>0.48956282028819442</v>
      </c>
      <c r="T574" s="171">
        <f t="shared" si="16"/>
        <v>1.2846913096923018</v>
      </c>
      <c r="U574" s="171">
        <f t="shared" si="17"/>
        <v>0.38412404973934039</v>
      </c>
    </row>
    <row r="575" spans="1:21" s="42" customFormat="1">
      <c r="A575" s="5">
        <v>968</v>
      </c>
      <c r="B575" s="28">
        <v>195.64500000000001</v>
      </c>
      <c r="C575" s="5" t="s">
        <v>126</v>
      </c>
      <c r="D575" s="5">
        <v>107</v>
      </c>
      <c r="E575" s="5">
        <v>3</v>
      </c>
      <c r="F575" s="24">
        <v>50.694000000000003</v>
      </c>
      <c r="G575" s="24">
        <v>-144.78800000000001</v>
      </c>
      <c r="H575" s="5">
        <v>3</v>
      </c>
      <c r="I575" s="25">
        <v>43344.384027777778</v>
      </c>
      <c r="J575" s="26">
        <v>43344.384027777778</v>
      </c>
      <c r="K575" s="7">
        <v>2.3361544200000002</v>
      </c>
      <c r="L575" s="7">
        <v>2.3877070978975858</v>
      </c>
      <c r="M575" s="7">
        <v>9.02091459120484E-2</v>
      </c>
      <c r="N575" s="6">
        <v>1497.3589020000854</v>
      </c>
      <c r="O575" s="6">
        <v>277.15675877899639</v>
      </c>
      <c r="P575" s="67">
        <v>1.0345390000000001</v>
      </c>
      <c r="Q575" s="7">
        <v>7.8481794147790052E-2</v>
      </c>
      <c r="R575" s="67">
        <v>1.5490761811162665</v>
      </c>
      <c r="S575" s="7">
        <v>0.30987685419624011</v>
      </c>
      <c r="T575" s="171">
        <f t="shared" si="16"/>
        <v>1.0952879928163735</v>
      </c>
      <c r="U575" s="171">
        <f t="shared" si="17"/>
        <v>0.26107995200969303</v>
      </c>
    </row>
    <row r="576" spans="1:21" s="42" customFormat="1">
      <c r="A576" s="5">
        <v>969</v>
      </c>
      <c r="B576" s="28">
        <v>330.25900000000001</v>
      </c>
      <c r="C576" s="5" t="s">
        <v>126</v>
      </c>
      <c r="D576" s="5">
        <v>107</v>
      </c>
      <c r="E576" s="5">
        <v>3</v>
      </c>
      <c r="F576" s="24">
        <v>50.694000000000003</v>
      </c>
      <c r="G576" s="24">
        <v>-144.78800000000001</v>
      </c>
      <c r="H576" s="5">
        <v>2</v>
      </c>
      <c r="I576" s="25">
        <v>43344.384027777778</v>
      </c>
      <c r="J576" s="26">
        <v>43344.384027777778</v>
      </c>
      <c r="K576" s="7">
        <v>2.35034958</v>
      </c>
      <c r="L576" s="7">
        <v>2.286399028922466</v>
      </c>
      <c r="M576" s="7">
        <v>8.6574973942764283E-2</v>
      </c>
      <c r="N576" s="6">
        <v>1777.6842100628021</v>
      </c>
      <c r="O576" s="6">
        <v>469.93105288222864</v>
      </c>
      <c r="P576" s="67">
        <v>0.93978100734870584</v>
      </c>
      <c r="Q576" s="7">
        <v>0.1503684181233878</v>
      </c>
      <c r="R576" s="67">
        <v>1.6706338576807087</v>
      </c>
      <c r="S576" s="7">
        <v>0.51622902109510937</v>
      </c>
      <c r="T576" s="171">
        <f t="shared" si="16"/>
        <v>1.1812364214338404</v>
      </c>
      <c r="U576" s="171">
        <f t="shared" si="17"/>
        <v>0.39581968501787196</v>
      </c>
    </row>
    <row r="577" spans="1:21" s="42" customFormat="1">
      <c r="A577" s="5">
        <v>970</v>
      </c>
      <c r="B577" s="28">
        <v>500.476</v>
      </c>
      <c r="C577" s="5" t="s">
        <v>126</v>
      </c>
      <c r="D577" s="5">
        <v>107</v>
      </c>
      <c r="E577" s="5">
        <v>3</v>
      </c>
      <c r="F577" s="24">
        <v>50.694000000000003</v>
      </c>
      <c r="G577" s="24">
        <v>-144.78800000000001</v>
      </c>
      <c r="H577" s="5">
        <v>1</v>
      </c>
      <c r="I577" s="25">
        <v>43344.384027777778</v>
      </c>
      <c r="J577" s="26">
        <v>43344.384027777778</v>
      </c>
      <c r="K577" s="7">
        <v>2.36492988</v>
      </c>
      <c r="L577" s="7">
        <v>2.3310494059370441</v>
      </c>
      <c r="M577" s="7">
        <v>8.9105855755656035E-2</v>
      </c>
      <c r="N577" s="6">
        <v>1860.614139621199</v>
      </c>
      <c r="O577" s="6">
        <v>518.07868165674063</v>
      </c>
      <c r="P577" s="68">
        <v>0.87680272990205399</v>
      </c>
      <c r="Q577" s="7">
        <v>0.15828163628098546</v>
      </c>
      <c r="R577" s="67">
        <v>1.6313915569142288</v>
      </c>
      <c r="S577" s="7">
        <v>0.54136538236232434</v>
      </c>
      <c r="T577" s="171">
        <f t="shared" si="16"/>
        <v>1.1534898061517944</v>
      </c>
      <c r="U577" s="171">
        <f t="shared" si="17"/>
        <v>0.41094399654607117</v>
      </c>
    </row>
    <row r="578" spans="1:21" s="42" customFormat="1">
      <c r="A578" s="5">
        <v>971</v>
      </c>
      <c r="B578" s="28">
        <v>6.7919999999999998</v>
      </c>
      <c r="C578" s="5" t="s">
        <v>128</v>
      </c>
      <c r="D578" s="5">
        <v>109</v>
      </c>
      <c r="E578" s="5">
        <v>3</v>
      </c>
      <c r="F578" s="24">
        <v>50.643000000000001</v>
      </c>
      <c r="G578" s="24">
        <v>-144.71</v>
      </c>
      <c r="H578" s="5">
        <v>13</v>
      </c>
      <c r="I578" s="25">
        <v>43344.959722222222</v>
      </c>
      <c r="J578" s="26">
        <v>43344.959722222222</v>
      </c>
      <c r="K578" s="7">
        <v>2.22355992</v>
      </c>
      <c r="L578" s="7">
        <v>1.5036015591779179</v>
      </c>
      <c r="M578" s="7">
        <v>6.5310361959935864E-2</v>
      </c>
      <c r="N578" s="6">
        <v>298.74620345310325</v>
      </c>
      <c r="O578" s="6">
        <v>27.100487671814779</v>
      </c>
      <c r="P578" s="7">
        <v>5.3045246601367619</v>
      </c>
      <c r="Q578" s="7">
        <v>1.8998610814664527</v>
      </c>
      <c r="R578" s="67">
        <v>1.5847066033392205</v>
      </c>
      <c r="S578" s="7">
        <v>0.58549841887433651</v>
      </c>
      <c r="T578" s="171">
        <f t="shared" si="16"/>
        <v>1.1204807974798972</v>
      </c>
      <c r="U578" s="171">
        <f t="shared" si="17"/>
        <v>0.43872123577984151</v>
      </c>
    </row>
    <row r="579" spans="1:21" s="42" customFormat="1">
      <c r="A579" s="5">
        <v>972</v>
      </c>
      <c r="B579" s="28">
        <v>22.064</v>
      </c>
      <c r="C579" s="5" t="s">
        <v>128</v>
      </c>
      <c r="D579" s="5">
        <v>109</v>
      </c>
      <c r="E579" s="5">
        <v>3</v>
      </c>
      <c r="F579" s="24">
        <v>50.643000000000001</v>
      </c>
      <c r="G579" s="24">
        <v>-144.71</v>
      </c>
      <c r="H579" s="5">
        <v>12</v>
      </c>
      <c r="I579" s="25">
        <v>43344.959722222222</v>
      </c>
      <c r="J579" s="26">
        <v>43344.959722222222</v>
      </c>
      <c r="K579" s="7">
        <v>2.2236385200000002</v>
      </c>
      <c r="L579" s="7">
        <v>1.2962234931146768</v>
      </c>
      <c r="M579" s="7">
        <v>6.169639227202886E-2</v>
      </c>
      <c r="N579" s="6">
        <v>699.49985745576214</v>
      </c>
      <c r="O579" s="6">
        <v>38.015809965809368</v>
      </c>
      <c r="P579" s="7">
        <v>5.3045246601367619</v>
      </c>
      <c r="Q579" s="7">
        <v>1.8998610814664527</v>
      </c>
      <c r="R579" s="67">
        <v>3.7105142436362404</v>
      </c>
      <c r="S579" s="7">
        <v>1.3441651526058058</v>
      </c>
      <c r="T579" s="171">
        <f t="shared" si="16"/>
        <v>2.6235518612779383</v>
      </c>
      <c r="U579" s="171">
        <f t="shared" si="17"/>
        <v>1.0094159933891256</v>
      </c>
    </row>
    <row r="580" spans="1:21" s="42" customFormat="1">
      <c r="A580" s="5">
        <v>973</v>
      </c>
      <c r="B580" s="28">
        <v>36.841999999999999</v>
      </c>
      <c r="C580" s="5" t="s">
        <v>128</v>
      </c>
      <c r="D580" s="5">
        <v>109</v>
      </c>
      <c r="E580" s="5">
        <v>3</v>
      </c>
      <c r="F580" s="24">
        <v>50.643000000000001</v>
      </c>
      <c r="G580" s="24">
        <v>-144.71</v>
      </c>
      <c r="H580" s="5">
        <v>11</v>
      </c>
      <c r="I580" s="25">
        <v>43344.959722222222</v>
      </c>
      <c r="J580" s="26">
        <v>43344.959722222222</v>
      </c>
      <c r="K580" s="7">
        <v>2.2365918000000002</v>
      </c>
      <c r="L580" s="7">
        <v>1.5481372416009966</v>
      </c>
      <c r="M580" s="7">
        <v>6.6406014160376628E-2</v>
      </c>
      <c r="N580" s="6">
        <v>995.03395741972508</v>
      </c>
      <c r="O580" s="6">
        <v>47.516384130105095</v>
      </c>
      <c r="P580" s="7">
        <v>5.3045246601367619</v>
      </c>
      <c r="Q580" s="7">
        <v>1.8998610814664527</v>
      </c>
      <c r="R580" s="67">
        <v>5.2781821648064042</v>
      </c>
      <c r="S580" s="7">
        <v>1.9071553909646093</v>
      </c>
      <c r="T580" s="171">
        <f t="shared" si="16"/>
        <v>3.731985308071871</v>
      </c>
      <c r="U580" s="171">
        <f t="shared" si="17"/>
        <v>1.4326189264704414</v>
      </c>
    </row>
    <row r="581" spans="1:21" s="42" customFormat="1">
      <c r="A581" s="5">
        <v>974</v>
      </c>
      <c r="B581" s="28">
        <v>51.915999999999997</v>
      </c>
      <c r="C581" s="5" t="s">
        <v>128</v>
      </c>
      <c r="D581" s="5">
        <v>109</v>
      </c>
      <c r="E581" s="5">
        <v>3</v>
      </c>
      <c r="F581" s="24">
        <v>50.643000000000001</v>
      </c>
      <c r="G581" s="24">
        <v>-144.71</v>
      </c>
      <c r="H581" s="5">
        <v>10</v>
      </c>
      <c r="I581" s="25">
        <v>43344.959722222222</v>
      </c>
      <c r="J581" s="26">
        <v>43344.959722222222</v>
      </c>
      <c r="K581" s="7">
        <v>2.2404196199999999</v>
      </c>
      <c r="L581" s="7">
        <v>1.67748303261371</v>
      </c>
      <c r="M581" s="7">
        <v>6.8841044265765414E-2</v>
      </c>
      <c r="N581" s="6">
        <v>1232.5016075139711</v>
      </c>
      <c r="O581" s="6">
        <v>55.687629798258584</v>
      </c>
      <c r="P581" s="67">
        <v>5.1626908</v>
      </c>
      <c r="Q581" s="7">
        <v>1.810454247661925</v>
      </c>
      <c r="R581" s="67">
        <v>6.363024710097589</v>
      </c>
      <c r="S581" s="7">
        <v>2.249832547266458</v>
      </c>
      <c r="T581" s="171">
        <f t="shared" si="16"/>
        <v>4.4990328093106795</v>
      </c>
      <c r="U581" s="171">
        <f t="shared" si="17"/>
        <v>1.6942956731746006</v>
      </c>
    </row>
    <row r="582" spans="1:21" s="42" customFormat="1">
      <c r="A582" s="5">
        <v>975</v>
      </c>
      <c r="B582" s="28">
        <v>66.176999999999893</v>
      </c>
      <c r="C582" s="5" t="s">
        <v>128</v>
      </c>
      <c r="D582" s="5">
        <v>109</v>
      </c>
      <c r="E582" s="5">
        <v>3</v>
      </c>
      <c r="F582" s="24">
        <v>50.643000000000001</v>
      </c>
      <c r="G582" s="24">
        <v>-144.71</v>
      </c>
      <c r="H582" s="5">
        <v>9</v>
      </c>
      <c r="I582" s="25">
        <v>43344.959722222222</v>
      </c>
      <c r="J582" s="26">
        <v>43344.959722222222</v>
      </c>
      <c r="K582" s="7">
        <v>2.2419130200000006</v>
      </c>
      <c r="L582" s="7">
        <v>1.716023289982787</v>
      </c>
      <c r="M582" s="7">
        <v>7.2837178748280954E-2</v>
      </c>
      <c r="N582" s="6">
        <v>1467.0764149530798</v>
      </c>
      <c r="O582" s="6">
        <v>64.472195600127264</v>
      </c>
      <c r="P582" s="67">
        <v>4.1116551000000072</v>
      </c>
      <c r="Q582" s="7">
        <v>1.2126673252104994</v>
      </c>
      <c r="R582" s="67">
        <v>6.0321122236315574</v>
      </c>
      <c r="S582" s="7">
        <v>1.7987166121714877</v>
      </c>
      <c r="T582" s="171">
        <f t="shared" si="16"/>
        <v>4.2650582136661468</v>
      </c>
      <c r="U582" s="171">
        <f t="shared" si="17"/>
        <v>1.3867674734388886</v>
      </c>
    </row>
    <row r="583" spans="1:21" s="42" customFormat="1">
      <c r="A583" s="5">
        <v>976</v>
      </c>
      <c r="B583" s="28">
        <v>82.935000000000002</v>
      </c>
      <c r="C583" s="5" t="s">
        <v>128</v>
      </c>
      <c r="D583" s="5">
        <v>109</v>
      </c>
      <c r="E583" s="5">
        <v>3</v>
      </c>
      <c r="F583" s="24">
        <v>50.643000000000001</v>
      </c>
      <c r="G583" s="24">
        <v>-144.71</v>
      </c>
      <c r="H583" s="5">
        <v>8</v>
      </c>
      <c r="I583" s="25">
        <v>43344.959722222222</v>
      </c>
      <c r="J583" s="26">
        <v>43344.959722222222</v>
      </c>
      <c r="K583" s="7">
        <v>2.2467862200000002</v>
      </c>
      <c r="L583" s="7">
        <v>1.9011799599454049</v>
      </c>
      <c r="M583" s="7">
        <v>7.7987490855639524E-2</v>
      </c>
      <c r="N583" s="6">
        <v>1626.7119395601721</v>
      </c>
      <c r="O583" s="6">
        <v>73.853089182269358</v>
      </c>
      <c r="P583" s="67">
        <v>2.8765904999999989</v>
      </c>
      <c r="Q583" s="7">
        <v>0.65996777315369226</v>
      </c>
      <c r="R583" s="67">
        <v>4.6793841115753638</v>
      </c>
      <c r="S583" s="7">
        <v>1.0943954828962503</v>
      </c>
      <c r="T583" s="171">
        <f t="shared" ref="T583:T646" si="18">R583*U$1</f>
        <v>3.3085998569101553</v>
      </c>
      <c r="U583" s="171">
        <f t="shared" ref="U583:U646" si="19">((((S583/R583)^2+(V$1/U$1)^2))^0.5)*T583</f>
        <v>0.88470647282483883</v>
      </c>
    </row>
    <row r="584" spans="1:21" s="42" customFormat="1">
      <c r="A584" s="5">
        <v>977</v>
      </c>
      <c r="B584" s="28">
        <v>98.297999999999902</v>
      </c>
      <c r="C584" s="5" t="s">
        <v>128</v>
      </c>
      <c r="D584" s="5">
        <v>109</v>
      </c>
      <c r="E584" s="5">
        <v>3</v>
      </c>
      <c r="F584" s="24">
        <v>50.643000000000001</v>
      </c>
      <c r="G584" s="24">
        <v>-144.71</v>
      </c>
      <c r="H584" s="5">
        <v>7</v>
      </c>
      <c r="I584" s="25">
        <v>43344.959722222222</v>
      </c>
      <c r="J584" s="26">
        <v>43344.959722222222</v>
      </c>
      <c r="K584" s="7">
        <v>2.2599438600000004</v>
      </c>
      <c r="L584" s="7">
        <v>2.4140255948013749</v>
      </c>
      <c r="M584" s="7">
        <v>9.130078863115243E-2</v>
      </c>
      <c r="N584" s="6">
        <v>1561.5948690235361</v>
      </c>
      <c r="O584" s="6">
        <v>83.325140753318891</v>
      </c>
      <c r="P584" s="67">
        <v>1.7443374000000063</v>
      </c>
      <c r="Q584" s="7">
        <v>0.29544386428201497</v>
      </c>
      <c r="R584" s="67">
        <v>2.7239483336858652</v>
      </c>
      <c r="S584" s="7">
        <v>0.48371705463907611</v>
      </c>
      <c r="T584" s="171">
        <f t="shared" si="18"/>
        <v>1.9259917228785846</v>
      </c>
      <c r="U584" s="171">
        <f t="shared" si="19"/>
        <v>0.42344278667970475</v>
      </c>
    </row>
    <row r="585" spans="1:21" s="42" customFormat="1">
      <c r="A585" s="5">
        <v>978</v>
      </c>
      <c r="B585" s="28">
        <v>112.324</v>
      </c>
      <c r="C585" s="5" t="s">
        <v>128</v>
      </c>
      <c r="D585" s="5">
        <v>109</v>
      </c>
      <c r="E585" s="5">
        <v>3</v>
      </c>
      <c r="F585" s="24">
        <v>50.643000000000001</v>
      </c>
      <c r="G585" s="24">
        <v>-144.71</v>
      </c>
      <c r="H585" s="5">
        <v>6</v>
      </c>
      <c r="I585" s="25">
        <v>43344.959722222222</v>
      </c>
      <c r="J585" s="26">
        <v>43344.959722222222</v>
      </c>
      <c r="K585" s="7">
        <v>2.2890337200000004</v>
      </c>
      <c r="L585" s="7">
        <v>1.983215826277521</v>
      </c>
      <c r="M585" s="7">
        <v>8.7599716990837823E-2</v>
      </c>
      <c r="N585" s="6">
        <v>1687.469128749163</v>
      </c>
      <c r="O585" s="6">
        <v>90.791571172641738</v>
      </c>
      <c r="P585" s="67">
        <v>1.4920276000000001</v>
      </c>
      <c r="Q585" s="7">
        <v>0.27761356035973284</v>
      </c>
      <c r="R585" s="67">
        <v>2.5177505142417047</v>
      </c>
      <c r="S585" s="7">
        <v>0.48765682643083869</v>
      </c>
      <c r="T585" s="171">
        <f t="shared" si="18"/>
        <v>1.7801977338319241</v>
      </c>
      <c r="U585" s="171">
        <f t="shared" si="19"/>
        <v>0.41489501397489259</v>
      </c>
    </row>
    <row r="586" spans="1:21" s="42" customFormat="1">
      <c r="A586" s="5">
        <v>979</v>
      </c>
      <c r="B586" s="28">
        <v>126.92100000000001</v>
      </c>
      <c r="C586" s="5" t="s">
        <v>128</v>
      </c>
      <c r="D586" s="5">
        <v>109</v>
      </c>
      <c r="E586" s="5">
        <v>3</v>
      </c>
      <c r="F586" s="24">
        <v>50.643000000000001</v>
      </c>
      <c r="G586" s="24">
        <v>-144.71</v>
      </c>
      <c r="H586" s="5">
        <v>5</v>
      </c>
      <c r="I586" s="25">
        <v>43344.959722222222</v>
      </c>
      <c r="J586" s="26">
        <v>43344.959722222222</v>
      </c>
      <c r="K586" s="7">
        <v>2.3078977199999997</v>
      </c>
      <c r="L586" s="7">
        <v>2.3215183709429414</v>
      </c>
      <c r="M586" s="7">
        <v>8.7793954834509344E-2</v>
      </c>
      <c r="N586" s="6">
        <v>1680.5597964004662</v>
      </c>
      <c r="O586" s="6">
        <v>101.1261004505137</v>
      </c>
      <c r="P586" s="67">
        <v>1.3445979000000001</v>
      </c>
      <c r="Q586" s="7">
        <v>0.28741470832441235</v>
      </c>
      <c r="R586" s="67">
        <v>2.2596771730644947</v>
      </c>
      <c r="S586" s="7">
        <v>0.50179170825451502</v>
      </c>
      <c r="T586" s="171">
        <f t="shared" si="18"/>
        <v>1.5977246990624443</v>
      </c>
      <c r="U586" s="171">
        <f t="shared" si="19"/>
        <v>0.41081987246304741</v>
      </c>
    </row>
    <row r="587" spans="1:21" s="42" customFormat="1">
      <c r="A587" s="5">
        <v>980</v>
      </c>
      <c r="B587" s="28">
        <v>147.6</v>
      </c>
      <c r="C587" s="5" t="s">
        <v>128</v>
      </c>
      <c r="D587" s="5">
        <v>109</v>
      </c>
      <c r="E587" s="5">
        <v>3</v>
      </c>
      <c r="F587" s="24">
        <v>50.643000000000001</v>
      </c>
      <c r="G587" s="24">
        <v>-144.71</v>
      </c>
      <c r="H587" s="5">
        <v>4</v>
      </c>
      <c r="I587" s="25">
        <v>43344.959722222222</v>
      </c>
      <c r="J587" s="26">
        <v>43344.959722222222</v>
      </c>
      <c r="K587" s="7">
        <v>2.32502466</v>
      </c>
      <c r="L587" s="7">
        <v>2.241862008363066</v>
      </c>
      <c r="M587" s="7">
        <v>8.6529051221492001E-2</v>
      </c>
      <c r="N587" s="6">
        <v>1764.422002283452</v>
      </c>
      <c r="O587" s="6">
        <v>133.56743181481053</v>
      </c>
      <c r="P587" s="67">
        <v>1.1357400000000002</v>
      </c>
      <c r="Q587" s="7">
        <v>0.28732313956800004</v>
      </c>
      <c r="R587" s="67">
        <v>2.003924644873408</v>
      </c>
      <c r="S587" s="7">
        <v>0.52916910900897585</v>
      </c>
      <c r="T587" s="171">
        <f t="shared" si="18"/>
        <v>1.4168926156085038</v>
      </c>
      <c r="U587" s="171">
        <f t="shared" si="19"/>
        <v>0.41680183270071847</v>
      </c>
    </row>
    <row r="588" spans="1:21" s="42" customFormat="1">
      <c r="A588" s="5">
        <v>981</v>
      </c>
      <c r="B588" s="28">
        <v>197.047</v>
      </c>
      <c r="C588" s="5" t="s">
        <v>128</v>
      </c>
      <c r="D588" s="5">
        <v>109</v>
      </c>
      <c r="E588" s="5">
        <v>3</v>
      </c>
      <c r="F588" s="24">
        <v>50.643000000000001</v>
      </c>
      <c r="G588" s="24">
        <v>-144.71</v>
      </c>
      <c r="H588" s="5">
        <v>3</v>
      </c>
      <c r="I588" s="25">
        <v>43344.959722222222</v>
      </c>
      <c r="J588" s="26">
        <v>43344.959722222222</v>
      </c>
      <c r="K588" s="7">
        <v>2.3355098999999999</v>
      </c>
      <c r="L588" s="7">
        <v>2.5595314678698702</v>
      </c>
      <c r="M588" s="7">
        <v>0.13272912220186661</v>
      </c>
      <c r="N588" s="6">
        <v>1605.1319458557359</v>
      </c>
      <c r="O588" s="6">
        <v>163.54580810607479</v>
      </c>
      <c r="P588" s="67">
        <v>1.0320154000000001</v>
      </c>
      <c r="Q588" s="7">
        <v>7.2528851366228483E-2</v>
      </c>
      <c r="R588" s="67">
        <v>1.6565208871550858</v>
      </c>
      <c r="S588" s="7">
        <v>0.20503787905995274</v>
      </c>
      <c r="T588" s="171">
        <f t="shared" si="18"/>
        <v>1.1712577210005621</v>
      </c>
      <c r="U588" s="171">
        <f t="shared" si="19"/>
        <v>0.20992395796595595</v>
      </c>
    </row>
    <row r="589" spans="1:21" s="42" customFormat="1">
      <c r="A589" s="5">
        <v>1026</v>
      </c>
      <c r="B589" s="28">
        <v>4.6950000000000003</v>
      </c>
      <c r="C589" s="5" t="s">
        <v>129</v>
      </c>
      <c r="D589" s="5">
        <v>111</v>
      </c>
      <c r="E589" s="5">
        <v>3</v>
      </c>
      <c r="F589" s="24">
        <v>50.593000000000004</v>
      </c>
      <c r="G589" s="24">
        <v>-144.791</v>
      </c>
      <c r="H589" s="5">
        <v>24</v>
      </c>
      <c r="I589" s="25">
        <v>43345.645138888889</v>
      </c>
      <c r="J589" s="26">
        <v>43345.645138888889</v>
      </c>
      <c r="K589" s="7">
        <v>2.2229546999999998</v>
      </c>
      <c r="L589" s="7">
        <v>1.2574761896114788</v>
      </c>
      <c r="M589" s="7">
        <v>5.9021052931613756E-2</v>
      </c>
      <c r="N589" s="6">
        <v>428.04468517547855</v>
      </c>
      <c r="O589" s="6">
        <v>26.166970832599318</v>
      </c>
      <c r="P589" s="7">
        <v>5.3045246601367619</v>
      </c>
      <c r="Q589" s="7">
        <v>1.8998610814664527</v>
      </c>
      <c r="R589" s="67">
        <v>2.2705735881538027</v>
      </c>
      <c r="S589" s="7">
        <v>0.82498604932484465</v>
      </c>
      <c r="T589" s="171">
        <f t="shared" si="18"/>
        <v>1.6054291055710139</v>
      </c>
      <c r="U589" s="171">
        <f t="shared" si="19"/>
        <v>0.61932389312876024</v>
      </c>
    </row>
    <row r="590" spans="1:21" s="42" customFormat="1">
      <c r="A590" s="5">
        <v>1025</v>
      </c>
      <c r="B590" s="28">
        <v>26.135999999999999</v>
      </c>
      <c r="C590" s="5" t="s">
        <v>129</v>
      </c>
      <c r="D590" s="5">
        <v>111</v>
      </c>
      <c r="E590" s="5">
        <v>3</v>
      </c>
      <c r="F590" s="24">
        <v>50.593000000000004</v>
      </c>
      <c r="G590" s="24">
        <v>-144.791</v>
      </c>
      <c r="H590" s="5">
        <v>20</v>
      </c>
      <c r="I590" s="25">
        <v>43345.645138888889</v>
      </c>
      <c r="J590" s="26">
        <v>43345.645138888889</v>
      </c>
      <c r="K590" s="7">
        <v>2.2233398400000004</v>
      </c>
      <c r="L590" s="7">
        <v>1.4855613025123178</v>
      </c>
      <c r="M590" s="7">
        <v>6.5091137721835418E-2</v>
      </c>
      <c r="N590" s="6">
        <v>725.88892040683049</v>
      </c>
      <c r="O590" s="6">
        <v>37.083966171486004</v>
      </c>
      <c r="P590" s="7">
        <v>5.3045246601367619</v>
      </c>
      <c r="Q590" s="7">
        <v>1.8998610814664527</v>
      </c>
      <c r="R590" s="67">
        <v>3.8504956788180835</v>
      </c>
      <c r="S590" s="7">
        <v>1.3930469999844788</v>
      </c>
      <c r="T590" s="171">
        <f t="shared" si="18"/>
        <v>2.7225269711149469</v>
      </c>
      <c r="U590" s="171">
        <f t="shared" si="19"/>
        <v>1.0462802414506109</v>
      </c>
    </row>
    <row r="591" spans="1:21" s="42" customFormat="1">
      <c r="A591" s="5">
        <v>1024</v>
      </c>
      <c r="B591" s="28">
        <v>32.768999999999998</v>
      </c>
      <c r="C591" s="5" t="s">
        <v>129</v>
      </c>
      <c r="D591" s="5">
        <v>111</v>
      </c>
      <c r="E591" s="5">
        <v>3</v>
      </c>
      <c r="F591" s="24">
        <v>50.593000000000004</v>
      </c>
      <c r="G591" s="24">
        <v>-144.791</v>
      </c>
      <c r="H591" s="5">
        <v>17</v>
      </c>
      <c r="I591" s="25">
        <v>43345.645138888889</v>
      </c>
      <c r="J591" s="26">
        <v>43345.645138888889</v>
      </c>
      <c r="K591" s="7">
        <v>2.2297143000000004</v>
      </c>
      <c r="L591" s="7">
        <v>1.4722015039636227</v>
      </c>
      <c r="M591" s="7">
        <v>7.1547852754300159E-2</v>
      </c>
      <c r="N591" s="6">
        <v>1100.9578673359617</v>
      </c>
      <c r="O591" s="6">
        <v>51.285443551743512</v>
      </c>
      <c r="P591" s="7">
        <v>5.3045246601367619</v>
      </c>
      <c r="Q591" s="7">
        <v>1.8998610814664527</v>
      </c>
      <c r="R591" s="67">
        <v>5.8400581570551866</v>
      </c>
      <c r="S591" s="7">
        <v>2.109284069366979</v>
      </c>
      <c r="T591" s="171">
        <f t="shared" si="18"/>
        <v>4.1292646899796139</v>
      </c>
      <c r="U591" s="171">
        <f t="shared" si="19"/>
        <v>1.5845306456497616</v>
      </c>
    </row>
    <row r="592" spans="1:21" s="42" customFormat="1">
      <c r="A592" s="5">
        <v>1023</v>
      </c>
      <c r="B592" s="28">
        <v>60.567999999999998</v>
      </c>
      <c r="C592" s="5" t="s">
        <v>129</v>
      </c>
      <c r="D592" s="5">
        <v>111</v>
      </c>
      <c r="E592" s="5">
        <v>3</v>
      </c>
      <c r="F592" s="24">
        <v>50.593000000000004</v>
      </c>
      <c r="G592" s="24">
        <v>-144.791</v>
      </c>
      <c r="H592" s="5">
        <v>14</v>
      </c>
      <c r="I592" s="25">
        <v>43345.645138888889</v>
      </c>
      <c r="J592" s="26">
        <v>43345.645138888889</v>
      </c>
      <c r="K592" s="7">
        <v>2.2409069399999999</v>
      </c>
      <c r="L592" s="7">
        <v>1.7868987466714437</v>
      </c>
      <c r="M592" s="7">
        <v>6.7885037989974223E-2</v>
      </c>
      <c r="N592" s="6">
        <v>1377.55013722082</v>
      </c>
      <c r="O592" s="6">
        <v>65.883298959512373</v>
      </c>
      <c r="P592" s="67">
        <v>4.5250383999999997</v>
      </c>
      <c r="Q592" s="7">
        <v>1.4338022556120191</v>
      </c>
      <c r="R592" s="67">
        <v>6.2334672688494797</v>
      </c>
      <c r="S592" s="7">
        <v>1.9975070616993902</v>
      </c>
      <c r="T592" s="171">
        <f t="shared" si="18"/>
        <v>4.4074280764325247</v>
      </c>
      <c r="U592" s="171">
        <f t="shared" si="19"/>
        <v>1.5235306447832542</v>
      </c>
    </row>
    <row r="593" spans="1:21" s="42" customFormat="1">
      <c r="A593" s="5">
        <v>1022</v>
      </c>
      <c r="B593" s="28">
        <v>75.135000000000005</v>
      </c>
      <c r="C593" s="5" t="s">
        <v>129</v>
      </c>
      <c r="D593" s="5">
        <v>111</v>
      </c>
      <c r="E593" s="5">
        <v>3</v>
      </c>
      <c r="F593" s="24">
        <v>50.593000000000004</v>
      </c>
      <c r="G593" s="24">
        <v>-144.791</v>
      </c>
      <c r="H593" s="5">
        <v>11</v>
      </c>
      <c r="I593" s="25">
        <v>43345.645138888889</v>
      </c>
      <c r="J593" s="26">
        <v>43345.645138888889</v>
      </c>
      <c r="K593" s="7">
        <v>2.24398806</v>
      </c>
      <c r="L593" s="7">
        <v>1.972204129994414</v>
      </c>
      <c r="M593" s="7">
        <v>7.9079657403645462E-2</v>
      </c>
      <c r="N593" s="6">
        <v>1513.4361827696177</v>
      </c>
      <c r="O593" s="6">
        <v>76.836650989524728</v>
      </c>
      <c r="P593" s="67">
        <v>3.4514504999999991</v>
      </c>
      <c r="Q593" s="7">
        <v>0.89709164327189217</v>
      </c>
      <c r="R593" s="67">
        <v>5.2235500697382866</v>
      </c>
      <c r="S593" s="7">
        <v>1.3833490689188825</v>
      </c>
      <c r="T593" s="171">
        <f t="shared" si="18"/>
        <v>3.6933572028308541</v>
      </c>
      <c r="U593" s="171">
        <f t="shared" si="19"/>
        <v>1.0889907658790168</v>
      </c>
    </row>
    <row r="594" spans="1:21" s="42" customFormat="1">
      <c r="A594" s="5">
        <v>1021</v>
      </c>
      <c r="B594" s="28">
        <v>95.337000000000003</v>
      </c>
      <c r="C594" s="5" t="s">
        <v>129</v>
      </c>
      <c r="D594" s="5">
        <v>111</v>
      </c>
      <c r="E594" s="5">
        <v>3</v>
      </c>
      <c r="F594" s="24">
        <v>50.593000000000004</v>
      </c>
      <c r="G594" s="24">
        <v>-144.791</v>
      </c>
      <c r="H594" s="5">
        <v>10</v>
      </c>
      <c r="I594" s="25">
        <v>43345.645138888889</v>
      </c>
      <c r="J594" s="26">
        <v>43345.645138888889</v>
      </c>
      <c r="K594" s="7">
        <v>2.2681575600000006</v>
      </c>
      <c r="L594" s="7">
        <v>2.2546968855636202</v>
      </c>
      <c r="M594" s="7">
        <v>8.4580953270121301E-2</v>
      </c>
      <c r="N594" s="6">
        <v>1520.3046254306712</v>
      </c>
      <c r="O594" s="6">
        <v>88.127789280378423</v>
      </c>
      <c r="P594" s="67">
        <v>1.9625630999999988</v>
      </c>
      <c r="Q594" s="7">
        <v>0.35512121428528753</v>
      </c>
      <c r="R594" s="67">
        <v>2.9836937586295549</v>
      </c>
      <c r="S594" s="7">
        <v>0.56691950777221189</v>
      </c>
      <c r="T594" s="171">
        <f t="shared" si="18"/>
        <v>2.1096470192403176</v>
      </c>
      <c r="U594" s="171">
        <f t="shared" si="19"/>
        <v>0.48524139409213024</v>
      </c>
    </row>
    <row r="595" spans="1:21" s="42" customFormat="1">
      <c r="A595" s="5">
        <v>1020</v>
      </c>
      <c r="B595" s="28">
        <v>110.619</v>
      </c>
      <c r="C595" s="5" t="s">
        <v>129</v>
      </c>
      <c r="D595" s="5">
        <v>111</v>
      </c>
      <c r="E595" s="5">
        <v>3</v>
      </c>
      <c r="F595" s="24">
        <v>50.593000000000004</v>
      </c>
      <c r="G595" s="24">
        <v>-144.791</v>
      </c>
      <c r="H595" s="5">
        <v>7</v>
      </c>
      <c r="I595" s="25">
        <v>43345.645138888889</v>
      </c>
      <c r="J595" s="26">
        <v>43345.645138888889</v>
      </c>
      <c r="K595" s="7">
        <v>2.2937497200000001</v>
      </c>
      <c r="L595" s="7">
        <v>2.2767607616065288</v>
      </c>
      <c r="M595" s="7">
        <v>8.1229311681797464E-2</v>
      </c>
      <c r="N595" s="6">
        <v>1527.7111055688931</v>
      </c>
      <c r="O595" s="6">
        <v>94.976628076525785</v>
      </c>
      <c r="P595" s="67">
        <v>1.5092481000000002</v>
      </c>
      <c r="Q595" s="7">
        <v>0.27593619687028836</v>
      </c>
      <c r="R595" s="67">
        <v>2.305695083428752</v>
      </c>
      <c r="S595" s="7">
        <v>0.44525539965074884</v>
      </c>
      <c r="T595" s="171">
        <f t="shared" si="18"/>
        <v>1.6302620689419236</v>
      </c>
      <c r="U595" s="171">
        <f t="shared" si="19"/>
        <v>0.37917029466725266</v>
      </c>
    </row>
    <row r="596" spans="1:21" s="42" customFormat="1">
      <c r="A596" s="5">
        <v>1019</v>
      </c>
      <c r="B596" s="28">
        <v>125.654</v>
      </c>
      <c r="C596" s="5" t="s">
        <v>129</v>
      </c>
      <c r="D596" s="5">
        <v>111</v>
      </c>
      <c r="E596" s="5">
        <v>3</v>
      </c>
      <c r="F596" s="24">
        <v>50.593000000000004</v>
      </c>
      <c r="G596" s="24">
        <v>-144.791</v>
      </c>
      <c r="H596" s="5">
        <v>6</v>
      </c>
      <c r="I596" s="25">
        <v>43345.645138888889</v>
      </c>
      <c r="J596" s="26">
        <v>43345.645138888889</v>
      </c>
      <c r="K596" s="7">
        <v>2.31060942</v>
      </c>
      <c r="L596" s="7">
        <v>2.18986140147907</v>
      </c>
      <c r="M596" s="7">
        <v>8.2311705141719121E-2</v>
      </c>
      <c r="N596" s="6">
        <v>1596.7555856866361</v>
      </c>
      <c r="O596" s="6">
        <v>105.99906360565716</v>
      </c>
      <c r="P596" s="67">
        <v>1.3573946000000001</v>
      </c>
      <c r="Q596" s="7">
        <v>0.28688757212235483</v>
      </c>
      <c r="R596" s="67">
        <v>2.1674274095308772</v>
      </c>
      <c r="S596" s="7">
        <v>0.48015417036124702</v>
      </c>
      <c r="T596" s="171">
        <f t="shared" si="18"/>
        <v>1.5324986891539378</v>
      </c>
      <c r="U596" s="171">
        <f t="shared" si="19"/>
        <v>0.39334504998785497</v>
      </c>
    </row>
    <row r="597" spans="1:21" s="42" customFormat="1">
      <c r="A597" s="5">
        <v>1018</v>
      </c>
      <c r="B597" s="28">
        <v>150.38299999999899</v>
      </c>
      <c r="C597" s="5" t="s">
        <v>129</v>
      </c>
      <c r="D597" s="5">
        <v>111</v>
      </c>
      <c r="E597" s="5">
        <v>3</v>
      </c>
      <c r="F597" s="24">
        <v>50.593000000000004</v>
      </c>
      <c r="G597" s="24">
        <v>-144.791</v>
      </c>
      <c r="H597" s="5">
        <v>5</v>
      </c>
      <c r="I597" s="25">
        <v>43345.645138888889</v>
      </c>
      <c r="J597" s="26">
        <v>43345.645138888889</v>
      </c>
      <c r="K597" s="7">
        <v>2.3298978600000004</v>
      </c>
      <c r="L597" s="7">
        <v>2.4628984324521772</v>
      </c>
      <c r="M597" s="7">
        <v>8.6984982713731632E-2</v>
      </c>
      <c r="N597" s="6">
        <v>1461.6378782020283</v>
      </c>
      <c r="O597" s="6">
        <v>138.00359809776592</v>
      </c>
      <c r="P597" s="67">
        <v>1.1169601976727355</v>
      </c>
      <c r="Q597" s="7">
        <v>0.28766856890476489</v>
      </c>
      <c r="R597" s="67">
        <v>1.6325913333624951</v>
      </c>
      <c r="S597" s="7">
        <v>0.44783173817733235</v>
      </c>
      <c r="T597" s="171">
        <f t="shared" si="18"/>
        <v>1.1543381186840438</v>
      </c>
      <c r="U597" s="171">
        <f t="shared" si="19"/>
        <v>0.35021783530109984</v>
      </c>
    </row>
    <row r="598" spans="1:21" s="42" customFormat="1">
      <c r="A598" s="5">
        <v>1017</v>
      </c>
      <c r="B598" s="28">
        <v>196.30199999999999</v>
      </c>
      <c r="C598" s="5" t="s">
        <v>129</v>
      </c>
      <c r="D598" s="5">
        <v>111</v>
      </c>
      <c r="E598" s="5">
        <v>3</v>
      </c>
      <c r="F598" s="24">
        <v>50.593000000000004</v>
      </c>
      <c r="G598" s="24">
        <v>-144.791</v>
      </c>
      <c r="H598" s="5">
        <v>3</v>
      </c>
      <c r="I598" s="25">
        <v>43345.645138888889</v>
      </c>
      <c r="J598" s="26">
        <v>43345.645138888889</v>
      </c>
      <c r="K598" s="7">
        <v>2.3368146600000004</v>
      </c>
      <c r="L598" s="7">
        <v>2.1970634896627912</v>
      </c>
      <c r="M598" s="7">
        <v>8.3643867822656315E-2</v>
      </c>
      <c r="N598" s="6">
        <v>1823.3175573352944</v>
      </c>
      <c r="O598" s="6">
        <v>256.72035897004849</v>
      </c>
      <c r="P598" s="67">
        <v>1.0333564000000002</v>
      </c>
      <c r="Q598" s="7">
        <v>7.5688640061390547E-2</v>
      </c>
      <c r="R598" s="67">
        <v>1.8841368671047938</v>
      </c>
      <c r="S598" s="7">
        <v>0.29903281405341869</v>
      </c>
      <c r="T598" s="171">
        <f t="shared" si="18"/>
        <v>1.3321956095635363</v>
      </c>
      <c r="U598" s="171">
        <f t="shared" si="19"/>
        <v>0.27299213418878537</v>
      </c>
    </row>
    <row r="599" spans="1:21" s="42" customFormat="1">
      <c r="A599" s="5">
        <v>1016</v>
      </c>
      <c r="B599" s="28">
        <v>330.356999999999</v>
      </c>
      <c r="C599" s="5" t="s">
        <v>129</v>
      </c>
      <c r="D599" s="5">
        <v>111</v>
      </c>
      <c r="E599" s="5">
        <v>3</v>
      </c>
      <c r="F599" s="24">
        <v>50.593000000000004</v>
      </c>
      <c r="G599" s="24">
        <v>-144.791</v>
      </c>
      <c r="H599" s="5">
        <v>2</v>
      </c>
      <c r="I599" s="25">
        <v>43345.645138888889</v>
      </c>
      <c r="J599" s="26">
        <v>43345.645138888889</v>
      </c>
      <c r="K599" s="7">
        <v>2.3505146400000001</v>
      </c>
      <c r="L599" s="7">
        <v>2.0958440281459874</v>
      </c>
      <c r="M599" s="7">
        <v>7.6473833659578591E-2</v>
      </c>
      <c r="N599" s="6">
        <v>2314.2488717159404</v>
      </c>
      <c r="O599" s="6">
        <v>296.0368808083586</v>
      </c>
      <c r="P599" s="67">
        <v>0.93978100734870584</v>
      </c>
      <c r="Q599" s="7">
        <v>0.1503684181233878</v>
      </c>
      <c r="R599" s="67">
        <v>2.1748871359168125</v>
      </c>
      <c r="S599" s="7">
        <v>0.44553082240667613</v>
      </c>
      <c r="T599" s="171">
        <f t="shared" si="18"/>
        <v>1.5377731545674611</v>
      </c>
      <c r="U599" s="171">
        <f t="shared" si="19"/>
        <v>0.37278606203558412</v>
      </c>
    </row>
    <row r="600" spans="1:21" s="42" customFormat="1">
      <c r="A600" s="5">
        <v>1027</v>
      </c>
      <c r="B600" s="28">
        <v>7.8739999999999997</v>
      </c>
      <c r="C600" s="5" t="s">
        <v>130</v>
      </c>
      <c r="D600" s="5">
        <v>113</v>
      </c>
      <c r="E600" s="5">
        <v>3</v>
      </c>
      <c r="F600" s="24">
        <v>50.591999999999999</v>
      </c>
      <c r="G600" s="24">
        <v>-144.63999999999999</v>
      </c>
      <c r="H600" s="5">
        <v>13</v>
      </c>
      <c r="I600" s="25">
        <v>43345.989583333336</v>
      </c>
      <c r="J600" s="26">
        <v>43345.989583333336</v>
      </c>
      <c r="K600" s="7">
        <v>2.2231276200000001</v>
      </c>
      <c r="L600" s="7">
        <v>1.3712282725170528</v>
      </c>
      <c r="M600" s="7">
        <v>6.2827436476804693E-2</v>
      </c>
      <c r="N600" s="6">
        <v>361.27396938218862</v>
      </c>
      <c r="O600" s="6">
        <v>26.643895700996403</v>
      </c>
      <c r="P600" s="7">
        <v>5.3045246601367619</v>
      </c>
      <c r="Q600" s="7">
        <v>1.8998610814664527</v>
      </c>
      <c r="R600" s="67">
        <v>1.9163866796533129</v>
      </c>
      <c r="S600" s="7">
        <v>0.70077053092971686</v>
      </c>
      <c r="T600" s="171">
        <f t="shared" si="18"/>
        <v>1.3549981243046243</v>
      </c>
      <c r="U600" s="171">
        <f t="shared" si="19"/>
        <v>0.52569611478423284</v>
      </c>
    </row>
    <row r="601" spans="1:21" s="42" customFormat="1">
      <c r="A601" s="5">
        <v>1028</v>
      </c>
      <c r="B601" s="28">
        <v>21.616999999999901</v>
      </c>
      <c r="C601" s="5" t="s">
        <v>130</v>
      </c>
      <c r="D601" s="5">
        <v>113</v>
      </c>
      <c r="E601" s="5">
        <v>3</v>
      </c>
      <c r="F601" s="24">
        <v>50.591999999999999</v>
      </c>
      <c r="G601" s="24">
        <v>-144.63999999999999</v>
      </c>
      <c r="H601" s="5">
        <v>12</v>
      </c>
      <c r="I601" s="25">
        <v>43345.989583333336</v>
      </c>
      <c r="J601" s="26">
        <v>43345.989583333336</v>
      </c>
      <c r="K601" s="7">
        <v>2.2232926800000001</v>
      </c>
      <c r="L601" s="7">
        <v>1.5625243256456096</v>
      </c>
      <c r="M601" s="7">
        <v>6.6253623425849908E-2</v>
      </c>
      <c r="N601" s="6">
        <v>648.14429059737517</v>
      </c>
      <c r="O601" s="6">
        <v>39.207811076926355</v>
      </c>
      <c r="P601" s="7">
        <v>5.3045246601367619</v>
      </c>
      <c r="Q601" s="7">
        <v>1.8998610814664527</v>
      </c>
      <c r="R601" s="67">
        <v>3.4380973728006241</v>
      </c>
      <c r="S601" s="7">
        <v>1.2488242530504026</v>
      </c>
      <c r="T601" s="171">
        <f t="shared" si="18"/>
        <v>2.430937107204417</v>
      </c>
      <c r="U601" s="171">
        <f t="shared" si="19"/>
        <v>0.93753393497270821</v>
      </c>
    </row>
    <row r="602" spans="1:21" s="42" customFormat="1">
      <c r="A602" s="5">
        <v>1029</v>
      </c>
      <c r="B602" s="28">
        <v>38.064999999999998</v>
      </c>
      <c r="C602" s="5" t="s">
        <v>130</v>
      </c>
      <c r="D602" s="5">
        <v>113</v>
      </c>
      <c r="E602" s="5">
        <v>3</v>
      </c>
      <c r="F602" s="24">
        <v>50.591999999999999</v>
      </c>
      <c r="G602" s="24">
        <v>-144.63999999999999</v>
      </c>
      <c r="H602" s="5">
        <v>11</v>
      </c>
      <c r="I602" s="25">
        <v>43345.989583333336</v>
      </c>
      <c r="J602" s="26">
        <v>43345.989583333336</v>
      </c>
      <c r="K602" s="7">
        <v>2.2342966799999999</v>
      </c>
      <c r="L602" s="7">
        <v>1.6555721916386021</v>
      </c>
      <c r="M602" s="7">
        <v>6.9856840250994867E-2</v>
      </c>
      <c r="N602" s="6">
        <v>905.78688863527168</v>
      </c>
      <c r="O602" s="6">
        <v>50.044353567536447</v>
      </c>
      <c r="P602" s="7">
        <v>5.3045246601367619</v>
      </c>
      <c r="Q602" s="7">
        <v>1.8998610814664527</v>
      </c>
      <c r="R602" s="67">
        <v>4.8047688875943493</v>
      </c>
      <c r="S602" s="7">
        <v>1.7412239415220427</v>
      </c>
      <c r="T602" s="171">
        <f t="shared" si="18"/>
        <v>3.3972542699917661</v>
      </c>
      <c r="U602" s="171">
        <f t="shared" si="19"/>
        <v>1.3075358832626898</v>
      </c>
    </row>
    <row r="603" spans="1:21" s="42" customFormat="1">
      <c r="A603" s="5">
        <v>1030</v>
      </c>
      <c r="B603" s="28">
        <v>52.576000000000001</v>
      </c>
      <c r="C603" s="5" t="s">
        <v>130</v>
      </c>
      <c r="D603" s="5">
        <v>113</v>
      </c>
      <c r="E603" s="5">
        <v>3</v>
      </c>
      <c r="F603" s="24">
        <v>50.591999999999999</v>
      </c>
      <c r="G603" s="24">
        <v>-144.63999999999999</v>
      </c>
      <c r="H603" s="5">
        <v>10</v>
      </c>
      <c r="I603" s="25">
        <v>43345.989583333336</v>
      </c>
      <c r="J603" s="26">
        <v>43345.989583333336</v>
      </c>
      <c r="K603" s="7">
        <v>2.2379673000000002</v>
      </c>
      <c r="L603" s="7">
        <v>1.7774898304644722</v>
      </c>
      <c r="M603" s="7">
        <v>7.0435161868106277E-2</v>
      </c>
      <c r="N603" s="6">
        <v>1103.377402430991</v>
      </c>
      <c r="O603" s="6">
        <v>58.462874112978554</v>
      </c>
      <c r="P603" s="67">
        <v>5.1140487999999991</v>
      </c>
      <c r="Q603" s="7">
        <v>1.7802025147243006</v>
      </c>
      <c r="R603" s="67">
        <v>5.6427258808493255</v>
      </c>
      <c r="S603" s="7">
        <v>1.9868593951453317</v>
      </c>
      <c r="T603" s="171">
        <f t="shared" si="18"/>
        <v>3.9897391615658622</v>
      </c>
      <c r="U603" s="171">
        <f t="shared" si="19"/>
        <v>1.496997880113224</v>
      </c>
    </row>
    <row r="604" spans="1:21" s="42" customFormat="1">
      <c r="A604" s="5">
        <v>1031</v>
      </c>
      <c r="B604" s="28">
        <v>67.905000000000001</v>
      </c>
      <c r="C604" s="5" t="s">
        <v>130</v>
      </c>
      <c r="D604" s="5">
        <v>113</v>
      </c>
      <c r="E604" s="5">
        <v>3</v>
      </c>
      <c r="F604" s="24">
        <v>50.591999999999999</v>
      </c>
      <c r="G604" s="24">
        <v>-144.63999999999999</v>
      </c>
      <c r="H604" s="5">
        <v>9</v>
      </c>
      <c r="I604" s="25">
        <v>43345.989583333336</v>
      </c>
      <c r="J604" s="26">
        <v>43345.989583333336</v>
      </c>
      <c r="K604" s="7">
        <v>2.2400659200000002</v>
      </c>
      <c r="L604" s="7">
        <v>1.4849322189528786</v>
      </c>
      <c r="M604" s="7">
        <v>6.1063577788378121E-2</v>
      </c>
      <c r="N604" s="6">
        <v>1434.1914335815111</v>
      </c>
      <c r="O604" s="6">
        <v>64.292543965221682</v>
      </c>
      <c r="P604" s="67">
        <v>3.9843014999999991</v>
      </c>
      <c r="Q604" s="7">
        <v>1.1481934363955322</v>
      </c>
      <c r="R604" s="67">
        <v>5.7142510801059636</v>
      </c>
      <c r="S604" s="7">
        <v>1.6665339550094322</v>
      </c>
      <c r="T604" s="171">
        <f t="shared" si="18"/>
        <v>4.040311685296194</v>
      </c>
      <c r="U604" s="171">
        <f t="shared" si="19"/>
        <v>1.2894836783088255</v>
      </c>
    </row>
    <row r="605" spans="1:21" s="42" customFormat="1">
      <c r="A605" s="5">
        <v>1032</v>
      </c>
      <c r="B605" s="28">
        <v>83.040999999999997</v>
      </c>
      <c r="C605" s="5" t="s">
        <v>130</v>
      </c>
      <c r="D605" s="5">
        <v>113</v>
      </c>
      <c r="E605" s="5">
        <v>3</v>
      </c>
      <c r="F605" s="24">
        <v>50.591999999999999</v>
      </c>
      <c r="G605" s="24">
        <v>-144.63999999999999</v>
      </c>
      <c r="H605" s="5">
        <v>8</v>
      </c>
      <c r="I605" s="25">
        <v>43345.989583333336</v>
      </c>
      <c r="J605" s="26">
        <v>43345.989583333336</v>
      </c>
      <c r="K605" s="7">
        <v>2.2437836999999998</v>
      </c>
      <c r="L605" s="7">
        <v>2.2904166982202336</v>
      </c>
      <c r="M605" s="7">
        <v>8.7518504784761794E-2</v>
      </c>
      <c r="N605" s="6">
        <v>1414.0954167897632</v>
      </c>
      <c r="O605" s="6">
        <v>74.538368031042538</v>
      </c>
      <c r="P605" s="67">
        <v>2.8687782999999989</v>
      </c>
      <c r="Q605" s="7">
        <v>0.6569867531165372</v>
      </c>
      <c r="R605" s="67">
        <v>4.056726245815927</v>
      </c>
      <c r="S605" s="7">
        <v>0.95333307872599837</v>
      </c>
      <c r="T605" s="171">
        <f t="shared" si="18"/>
        <v>2.8683441146086128</v>
      </c>
      <c r="U605" s="171">
        <f t="shared" si="19"/>
        <v>0.76980686129100051</v>
      </c>
    </row>
    <row r="606" spans="1:21" s="42" customFormat="1">
      <c r="A606" s="5">
        <v>1033</v>
      </c>
      <c r="B606" s="28">
        <v>97.872999999999905</v>
      </c>
      <c r="C606" s="5" t="s">
        <v>130</v>
      </c>
      <c r="D606" s="5">
        <v>113</v>
      </c>
      <c r="E606" s="5">
        <v>3</v>
      </c>
      <c r="F606" s="24">
        <v>50.591999999999999</v>
      </c>
      <c r="G606" s="24">
        <v>-144.63999999999999</v>
      </c>
      <c r="H606" s="5">
        <v>7</v>
      </c>
      <c r="I606" s="25">
        <v>43345.989583333336</v>
      </c>
      <c r="J606" s="26">
        <v>43345.989583333336</v>
      </c>
      <c r="K606" s="7">
        <v>2.2575544200000004</v>
      </c>
      <c r="L606" s="7">
        <v>2.3174696748533079</v>
      </c>
      <c r="M606" s="7">
        <v>8.4493433210234739E-2</v>
      </c>
      <c r="N606" s="6">
        <v>1388.7606167580968</v>
      </c>
      <c r="O606" s="6">
        <v>82.658483595757176</v>
      </c>
      <c r="P606" s="67">
        <v>1.7756599000000062</v>
      </c>
      <c r="Q606" s="7">
        <v>0.3036990019539374</v>
      </c>
      <c r="R606" s="67">
        <v>2.4659665378766289</v>
      </c>
      <c r="S606" s="7">
        <v>0.44657397234140234</v>
      </c>
      <c r="T606" s="171">
        <f t="shared" si="18"/>
        <v>1.7435834160699126</v>
      </c>
      <c r="U606" s="171">
        <f t="shared" si="19"/>
        <v>0.38830676892938459</v>
      </c>
    </row>
    <row r="607" spans="1:21" s="42" customFormat="1">
      <c r="A607" s="5">
        <v>1034</v>
      </c>
      <c r="B607" s="28">
        <v>112.446</v>
      </c>
      <c r="C607" s="5" t="s">
        <v>130</v>
      </c>
      <c r="D607" s="5">
        <v>113</v>
      </c>
      <c r="E607" s="5">
        <v>3</v>
      </c>
      <c r="F607" s="24">
        <v>50.591999999999999</v>
      </c>
      <c r="G607" s="24">
        <v>-144.63999999999999</v>
      </c>
      <c r="H607" s="5">
        <v>6</v>
      </c>
      <c r="I607" s="25">
        <v>43345.989583333336</v>
      </c>
      <c r="J607" s="26">
        <v>43345.989583333336</v>
      </c>
      <c r="K607" s="7">
        <v>2.2778332199999998</v>
      </c>
      <c r="L607" s="7">
        <v>2.2446087153902949</v>
      </c>
      <c r="M607" s="7">
        <v>8.7173874588854117E-2</v>
      </c>
      <c r="N607" s="6">
        <v>1402.7506303525493</v>
      </c>
      <c r="O607" s="6">
        <v>90.442305588287923</v>
      </c>
      <c r="P607" s="67">
        <v>1.4907954000000001</v>
      </c>
      <c r="Q607" s="7">
        <v>0.27772931226771486</v>
      </c>
      <c r="R607" s="67">
        <v>2.0912141870766807</v>
      </c>
      <c r="S607" s="7">
        <v>0.41225700538900772</v>
      </c>
      <c r="T607" s="171">
        <f t="shared" si="18"/>
        <v>1.4786114572246649</v>
      </c>
      <c r="U607" s="171">
        <f t="shared" si="19"/>
        <v>0.34885804406442289</v>
      </c>
    </row>
    <row r="608" spans="1:21" s="42" customFormat="1">
      <c r="A608" s="5">
        <v>1035</v>
      </c>
      <c r="B608" s="28">
        <v>127.155</v>
      </c>
      <c r="C608" s="5" t="s">
        <v>130</v>
      </c>
      <c r="D608" s="5">
        <v>113</v>
      </c>
      <c r="E608" s="5">
        <v>3</v>
      </c>
      <c r="F608" s="24">
        <v>50.591999999999999</v>
      </c>
      <c r="G608" s="24">
        <v>-144.63999999999999</v>
      </c>
      <c r="H608" s="5">
        <v>5</v>
      </c>
      <c r="I608" s="25">
        <v>43345.989583333336</v>
      </c>
      <c r="J608" s="26">
        <v>43345.989583333336</v>
      </c>
      <c r="K608" s="7">
        <v>2.3057126399999999</v>
      </c>
      <c r="L608" s="7">
        <v>2.6964465153122164</v>
      </c>
      <c r="M608" s="7">
        <v>0.13397126810612317</v>
      </c>
      <c r="N608" s="6">
        <v>1205.9425645734875</v>
      </c>
      <c r="O608" s="6">
        <v>112.84204874295604</v>
      </c>
      <c r="P608" s="67">
        <v>1.3422345</v>
      </c>
      <c r="Q608" s="7">
        <v>0.28750533464370753</v>
      </c>
      <c r="R608" s="67">
        <v>1.6186577151890129</v>
      </c>
      <c r="S608" s="7">
        <v>0.37835369227024418</v>
      </c>
      <c r="T608" s="171">
        <f t="shared" si="18"/>
        <v>1.1444862309150989</v>
      </c>
      <c r="U608" s="171">
        <f t="shared" si="19"/>
        <v>0.3059003222194247</v>
      </c>
    </row>
    <row r="609" spans="1:21" s="42" customFormat="1">
      <c r="A609" s="5">
        <v>1036</v>
      </c>
      <c r="B609" s="28">
        <v>147.47299999999899</v>
      </c>
      <c r="C609" s="5" t="s">
        <v>130</v>
      </c>
      <c r="D609" s="5">
        <v>113</v>
      </c>
      <c r="E609" s="5">
        <v>3</v>
      </c>
      <c r="F609" s="24">
        <v>50.591999999999999</v>
      </c>
      <c r="G609" s="24">
        <v>-144.63999999999999</v>
      </c>
      <c r="H609" s="5">
        <v>4</v>
      </c>
      <c r="I609" s="25">
        <v>43345.989583333336</v>
      </c>
      <c r="J609" s="26">
        <v>43345.989583333336</v>
      </c>
      <c r="K609" s="7">
        <v>2.3194833600000004</v>
      </c>
      <c r="L609" s="7">
        <v>2.4281844070316709</v>
      </c>
      <c r="M609" s="7">
        <v>9.2085713321747961E-2</v>
      </c>
      <c r="N609" s="6">
        <v>1095.7034520768427</v>
      </c>
      <c r="O609" s="6">
        <v>146.47448084738346</v>
      </c>
      <c r="P609" s="67">
        <v>1.1370227000000104</v>
      </c>
      <c r="Q609" s="7">
        <v>0.28737371074677914</v>
      </c>
      <c r="R609" s="67">
        <v>1.2458396974797439</v>
      </c>
      <c r="S609" s="7">
        <v>0.35620822571788791</v>
      </c>
      <c r="T609" s="171">
        <f t="shared" si="18"/>
        <v>0.88088195936254576</v>
      </c>
      <c r="U609" s="171">
        <f t="shared" si="19"/>
        <v>0.27653504051891059</v>
      </c>
    </row>
    <row r="610" spans="1:21" s="42" customFormat="1">
      <c r="A610" s="5">
        <v>1037</v>
      </c>
      <c r="B610" s="28">
        <v>197.68</v>
      </c>
      <c r="C610" s="5" t="s">
        <v>130</v>
      </c>
      <c r="D610" s="5">
        <v>113</v>
      </c>
      <c r="E610" s="5">
        <v>3</v>
      </c>
      <c r="F610" s="24">
        <v>50.591999999999999</v>
      </c>
      <c r="G610" s="24">
        <v>-144.63999999999999</v>
      </c>
      <c r="H610" s="5">
        <v>3</v>
      </c>
      <c r="I610" s="25">
        <v>43345.989583333336</v>
      </c>
      <c r="J610" s="26">
        <v>43345.989583333336</v>
      </c>
      <c r="K610" s="7">
        <v>2.3346767400000004</v>
      </c>
      <c r="L610" s="7">
        <v>2.3540325522814349</v>
      </c>
      <c r="M610" s="7">
        <v>8.4115822415886693E-2</v>
      </c>
      <c r="N610" s="6">
        <v>1044.3300343844608</v>
      </c>
      <c r="O610" s="6">
        <v>267.0175750627119</v>
      </c>
      <c r="P610" s="67">
        <v>1.0308760000000001</v>
      </c>
      <c r="Q610" s="7">
        <v>6.9850343418240007E-2</v>
      </c>
      <c r="R610" s="67">
        <v>1.0765747685261156</v>
      </c>
      <c r="S610" s="7">
        <v>0.28476378158778787</v>
      </c>
      <c r="T610" s="171">
        <f t="shared" si="18"/>
        <v>0.76120169666931226</v>
      </c>
      <c r="U610" s="171">
        <f t="shared" si="19"/>
        <v>0.22422231103622622</v>
      </c>
    </row>
    <row r="611" spans="1:21" s="42" customFormat="1">
      <c r="A611" s="5">
        <v>1038</v>
      </c>
      <c r="B611" s="28">
        <v>332.04599999999999</v>
      </c>
      <c r="C611" s="5" t="s">
        <v>130</v>
      </c>
      <c r="D611" s="5">
        <v>113</v>
      </c>
      <c r="E611" s="5">
        <v>3</v>
      </c>
      <c r="F611" s="24">
        <v>50.591999999999999</v>
      </c>
      <c r="G611" s="24">
        <v>-144.63999999999999</v>
      </c>
      <c r="H611" s="5">
        <v>2</v>
      </c>
      <c r="I611" s="25">
        <v>43345.989583333336</v>
      </c>
      <c r="J611" s="26">
        <v>43345.989583333336</v>
      </c>
      <c r="K611" s="7">
        <v>2.3480859000000005</v>
      </c>
      <c r="L611" s="7">
        <v>2.2971800865572991</v>
      </c>
      <c r="M611" s="7">
        <v>8.3128118651654967E-2</v>
      </c>
      <c r="N611" s="6">
        <v>1268.1615012727302</v>
      </c>
      <c r="O611" s="6">
        <v>452.65599675521236</v>
      </c>
      <c r="P611" s="67">
        <v>0.92918160000000005</v>
      </c>
      <c r="Q611" s="7">
        <v>0.14900129974798559</v>
      </c>
      <c r="R611" s="67">
        <v>1.1783523328109975</v>
      </c>
      <c r="S611" s="7">
        <v>0.46109549992284699</v>
      </c>
      <c r="T611" s="171">
        <f t="shared" si="18"/>
        <v>0.83316442223326626</v>
      </c>
      <c r="U611" s="171">
        <f t="shared" si="19"/>
        <v>0.34344417888219769</v>
      </c>
    </row>
    <row r="612" spans="1:21" s="42" customFormat="1">
      <c r="A612" s="5">
        <v>1039</v>
      </c>
      <c r="B612" s="28">
        <v>503.45</v>
      </c>
      <c r="C612" s="5" t="s">
        <v>130</v>
      </c>
      <c r="D612" s="5">
        <v>113</v>
      </c>
      <c r="E612" s="5">
        <v>3</v>
      </c>
      <c r="F612" s="24">
        <v>50.591999999999999</v>
      </c>
      <c r="G612" s="24">
        <v>-144.63999999999999</v>
      </c>
      <c r="H612" s="5">
        <v>1</v>
      </c>
      <c r="I612" s="25">
        <v>43345.989583333336</v>
      </c>
      <c r="J612" s="26">
        <v>43345.989583333336</v>
      </c>
      <c r="K612" s="7">
        <v>2.3639395200000002</v>
      </c>
      <c r="L612" s="7">
        <v>2.1342126065125568</v>
      </c>
      <c r="M612" s="7">
        <v>8.3436418273443683E-2</v>
      </c>
      <c r="N612" s="6">
        <v>1834.3899900985271</v>
      </c>
      <c r="O612" s="6">
        <v>497.1827570552511</v>
      </c>
      <c r="P612" s="68">
        <v>0.87680272990205399</v>
      </c>
      <c r="Q612" s="7">
        <v>0.15828163628098546</v>
      </c>
      <c r="R612" s="67">
        <v>1.6083981510233902</v>
      </c>
      <c r="S612" s="7">
        <v>0.52377407073053417</v>
      </c>
      <c r="T612" s="171">
        <f t="shared" si="18"/>
        <v>1.1372321154757679</v>
      </c>
      <c r="U612" s="171">
        <f t="shared" si="19"/>
        <v>0.39859989507934207</v>
      </c>
    </row>
    <row r="613" spans="1:21" s="42" customFormat="1">
      <c r="A613" s="5">
        <v>1040</v>
      </c>
      <c r="B613" s="28">
        <v>8.6270000000000007</v>
      </c>
      <c r="C613" s="5" t="s">
        <v>131</v>
      </c>
      <c r="D613" s="5">
        <v>114</v>
      </c>
      <c r="E613" s="5">
        <v>3</v>
      </c>
      <c r="F613" s="24">
        <v>50.542999999999999</v>
      </c>
      <c r="G613" s="24">
        <v>-144.71</v>
      </c>
      <c r="H613" s="5">
        <v>13</v>
      </c>
      <c r="I613" s="25">
        <v>43346.072916666664</v>
      </c>
      <c r="J613" s="26">
        <v>43346.072916666664</v>
      </c>
      <c r="K613" s="7">
        <v>2.2228761000000001</v>
      </c>
      <c r="L613" s="7">
        <v>1.3082172844676219</v>
      </c>
      <c r="M613" s="7">
        <v>5.8256421920765203E-2</v>
      </c>
      <c r="N613" s="6">
        <v>403.56717116377047</v>
      </c>
      <c r="O613" s="6">
        <v>25.7039881947697</v>
      </c>
      <c r="P613" s="7">
        <v>5.3045246601367619</v>
      </c>
      <c r="Q613" s="7">
        <v>1.8998610814664527</v>
      </c>
      <c r="R613" s="67">
        <v>2.1407320114598538</v>
      </c>
      <c r="S613" s="7">
        <v>0.77875065214072126</v>
      </c>
      <c r="T613" s="171">
        <f t="shared" si="18"/>
        <v>1.5136234722168498</v>
      </c>
      <c r="U613" s="171">
        <f t="shared" si="19"/>
        <v>0.58453487801737292</v>
      </c>
    </row>
    <row r="614" spans="1:21" s="42" customFormat="1">
      <c r="A614" s="5">
        <v>1041</v>
      </c>
      <c r="B614" s="28">
        <v>22.055999999999901</v>
      </c>
      <c r="C614" s="5" t="s">
        <v>131</v>
      </c>
      <c r="D614" s="5">
        <v>114</v>
      </c>
      <c r="E614" s="5">
        <v>3</v>
      </c>
      <c r="F614" s="24">
        <v>50.542999999999999</v>
      </c>
      <c r="G614" s="24">
        <v>-144.71</v>
      </c>
      <c r="H614" s="5">
        <v>12</v>
      </c>
      <c r="I614" s="25">
        <v>43346.072916666664</v>
      </c>
      <c r="J614" s="26">
        <v>43346.072916666664</v>
      </c>
      <c r="K614" s="7">
        <v>2.2232062200000002</v>
      </c>
      <c r="L614" s="7">
        <v>1.6108502632712685</v>
      </c>
      <c r="M614" s="7">
        <v>9.2682006851436613E-2</v>
      </c>
      <c r="N614" s="6">
        <v>656.66879282374202</v>
      </c>
      <c r="O614" s="6">
        <v>46.132170273452623</v>
      </c>
      <c r="P614" s="7">
        <v>5.3045246601367619</v>
      </c>
      <c r="Q614" s="7">
        <v>1.8998610814664527</v>
      </c>
      <c r="R614" s="67">
        <v>3.4833158050757778</v>
      </c>
      <c r="S614" s="7">
        <v>1.2713524986281499</v>
      </c>
      <c r="T614" s="171">
        <f t="shared" si="18"/>
        <v>2.4629091990412864</v>
      </c>
      <c r="U614" s="171">
        <f t="shared" si="19"/>
        <v>0.95393011520432036</v>
      </c>
    </row>
    <row r="615" spans="1:21" s="42" customFormat="1">
      <c r="A615" s="5">
        <v>1042</v>
      </c>
      <c r="B615" s="28">
        <v>37.369999999999997</v>
      </c>
      <c r="C615" s="5" t="s">
        <v>131</v>
      </c>
      <c r="D615" s="5">
        <v>114</v>
      </c>
      <c r="E615" s="5">
        <v>3</v>
      </c>
      <c r="F615" s="24">
        <v>50.542999999999999</v>
      </c>
      <c r="G615" s="24">
        <v>-144.71</v>
      </c>
      <c r="H615" s="5">
        <v>11</v>
      </c>
      <c r="I615" s="25">
        <v>43346.072916666664</v>
      </c>
      <c r="J615" s="26">
        <v>43346.072916666664</v>
      </c>
      <c r="K615" s="7">
        <v>2.2361437799999999</v>
      </c>
      <c r="L615" s="7">
        <v>1.7241762367258435</v>
      </c>
      <c r="M615" s="7">
        <v>9.6826298271144126E-2</v>
      </c>
      <c r="N615" s="6">
        <v>880.77827412529041</v>
      </c>
      <c r="O615" s="6">
        <v>62.647079821028974</v>
      </c>
      <c r="P615" s="7">
        <v>5.3045246601367619</v>
      </c>
      <c r="Q615" s="7">
        <v>1.8998610814664527</v>
      </c>
      <c r="R615" s="67">
        <v>4.6721100752103002</v>
      </c>
      <c r="S615" s="7">
        <v>1.7060344190134644</v>
      </c>
      <c r="T615" s="171">
        <f t="shared" si="18"/>
        <v>3.3034566852656062</v>
      </c>
      <c r="U615" s="171">
        <f t="shared" si="19"/>
        <v>1.2800171754594083</v>
      </c>
    </row>
    <row r="616" spans="1:21" s="42" customFormat="1">
      <c r="A616" s="5">
        <v>1043</v>
      </c>
      <c r="B616" s="28">
        <v>52.497</v>
      </c>
      <c r="C616" s="5" t="s">
        <v>131</v>
      </c>
      <c r="D616" s="5">
        <v>114</v>
      </c>
      <c r="E616" s="5">
        <v>3</v>
      </c>
      <c r="F616" s="24">
        <v>50.542999999999999</v>
      </c>
      <c r="G616" s="24">
        <v>-144.71</v>
      </c>
      <c r="H616" s="5">
        <v>10</v>
      </c>
      <c r="I616" s="25">
        <v>43346.072916666664</v>
      </c>
      <c r="J616" s="26">
        <v>43346.072916666664</v>
      </c>
      <c r="K616" s="7">
        <v>2.2384231800000003</v>
      </c>
      <c r="L616" s="7">
        <v>1.9522585382142796</v>
      </c>
      <c r="M616" s="7">
        <v>0.10474920122652595</v>
      </c>
      <c r="N616" s="6">
        <v>1003.3614255588365</v>
      </c>
      <c r="O616" s="6">
        <v>77.058816691607291</v>
      </c>
      <c r="P616" s="67">
        <v>5.1198710999999992</v>
      </c>
      <c r="Q616" s="7">
        <v>1.7838103322906393</v>
      </c>
      <c r="R616" s="67">
        <v>5.1370811655734867</v>
      </c>
      <c r="S616" s="7">
        <v>1.8327744277452001</v>
      </c>
      <c r="T616" s="171">
        <f t="shared" si="18"/>
        <v>3.6322186005863553</v>
      </c>
      <c r="U616" s="171">
        <f t="shared" si="19"/>
        <v>1.3787607113527534</v>
      </c>
    </row>
    <row r="617" spans="1:21" s="42" customFormat="1">
      <c r="A617" s="5">
        <v>1044</v>
      </c>
      <c r="B617" s="28">
        <v>67.158999999999907</v>
      </c>
      <c r="C617" s="5" t="s">
        <v>131</v>
      </c>
      <c r="D617" s="5">
        <v>114</v>
      </c>
      <c r="E617" s="5">
        <v>3</v>
      </c>
      <c r="F617" s="24">
        <v>50.542999999999999</v>
      </c>
      <c r="G617" s="24">
        <v>-144.71</v>
      </c>
      <c r="H617" s="5">
        <v>9</v>
      </c>
      <c r="I617" s="25">
        <v>43346.072916666664</v>
      </c>
      <c r="J617" s="26">
        <v>43346.072916666664</v>
      </c>
      <c r="K617" s="7">
        <v>2.2412527800000004</v>
      </c>
      <c r="L617" s="7">
        <v>1.9034107474659279</v>
      </c>
      <c r="M617" s="7">
        <v>7.2604861427041437E-2</v>
      </c>
      <c r="N617" s="6">
        <v>1148.0765466873331</v>
      </c>
      <c r="O617" s="6">
        <v>83.098110206790622</v>
      </c>
      <c r="P617" s="67">
        <v>4.0392817000000063</v>
      </c>
      <c r="Q617" s="7">
        <v>1.1758166008846205</v>
      </c>
      <c r="R617" s="67">
        <v>4.6374045852333472</v>
      </c>
      <c r="S617" s="7">
        <v>1.3910318323289228</v>
      </c>
      <c r="T617" s="171">
        <f t="shared" si="18"/>
        <v>3.2789178621141368</v>
      </c>
      <c r="U617" s="171">
        <f t="shared" si="19"/>
        <v>1.0714495574478728</v>
      </c>
    </row>
    <row r="618" spans="1:21" s="42" customFormat="1">
      <c r="A618" s="5">
        <v>1045</v>
      </c>
      <c r="B618" s="28">
        <v>82.284999999999997</v>
      </c>
      <c r="C618" s="5" t="s">
        <v>131</v>
      </c>
      <c r="D618" s="5">
        <v>114</v>
      </c>
      <c r="E618" s="5">
        <v>3</v>
      </c>
      <c r="F618" s="24">
        <v>50.542999999999999</v>
      </c>
      <c r="G618" s="24">
        <v>-144.71</v>
      </c>
      <c r="H618" s="5">
        <v>8</v>
      </c>
      <c r="I618" s="25">
        <v>43346.072916666664</v>
      </c>
      <c r="J618" s="26">
        <v>43346.072916666664</v>
      </c>
      <c r="K618" s="7">
        <v>2.25420606</v>
      </c>
      <c r="L618" s="7">
        <v>2.3350244388896719</v>
      </c>
      <c r="M618" s="7">
        <v>8.4386946304552554E-2</v>
      </c>
      <c r="N618" s="6">
        <v>1112.7733605895889</v>
      </c>
      <c r="O618" s="6">
        <v>90.907116686649999</v>
      </c>
      <c r="P618" s="67">
        <v>2.924495499999999</v>
      </c>
      <c r="Q618" s="7">
        <v>0.67838918205179222</v>
      </c>
      <c r="R618" s="67">
        <v>3.2543006855641292</v>
      </c>
      <c r="S618" s="7">
        <v>0.80034008145313662</v>
      </c>
      <c r="T618" s="171">
        <f t="shared" si="18"/>
        <v>2.3009820364960838</v>
      </c>
      <c r="U618" s="171">
        <f t="shared" si="19"/>
        <v>0.63968017948634848</v>
      </c>
    </row>
    <row r="619" spans="1:21" s="42" customFormat="1">
      <c r="A619" s="5">
        <v>1046</v>
      </c>
      <c r="B619" s="28">
        <v>97.536000000000001</v>
      </c>
      <c r="C619" s="5" t="s">
        <v>131</v>
      </c>
      <c r="D619" s="5">
        <v>114</v>
      </c>
      <c r="E619" s="5">
        <v>3</v>
      </c>
      <c r="F619" s="24">
        <v>50.542999999999999</v>
      </c>
      <c r="G619" s="24">
        <v>-144.71</v>
      </c>
      <c r="H619" s="5">
        <v>7</v>
      </c>
      <c r="I619" s="25">
        <v>43346.072916666664</v>
      </c>
      <c r="J619" s="26">
        <v>43346.072916666664</v>
      </c>
      <c r="K619" s="7">
        <v>2.2778725200000003</v>
      </c>
      <c r="L619" s="7">
        <v>2.4335960315617515</v>
      </c>
      <c r="M619" s="7">
        <v>8.6732891476683949E-2</v>
      </c>
      <c r="N619" s="6">
        <v>1046.4787628198712</v>
      </c>
      <c r="O619" s="6">
        <v>98.119720629160156</v>
      </c>
      <c r="P619" s="67">
        <v>1.8004967999999986</v>
      </c>
      <c r="Q619" s="7">
        <v>0.31031882116231657</v>
      </c>
      <c r="R619" s="67">
        <v>1.8841816637251356</v>
      </c>
      <c r="S619" s="7">
        <v>0.36968589062277035</v>
      </c>
      <c r="T619" s="171">
        <f t="shared" si="18"/>
        <v>1.332227283409521</v>
      </c>
      <c r="U619" s="171">
        <f t="shared" si="19"/>
        <v>0.31328331655675717</v>
      </c>
    </row>
    <row r="620" spans="1:21" s="42" customFormat="1">
      <c r="A620" s="5">
        <v>1047</v>
      </c>
      <c r="B620" s="28">
        <v>111.89</v>
      </c>
      <c r="C620" s="5" t="s">
        <v>131</v>
      </c>
      <c r="D620" s="5">
        <v>114</v>
      </c>
      <c r="E620" s="5">
        <v>3</v>
      </c>
      <c r="F620" s="24">
        <v>50.542999999999999</v>
      </c>
      <c r="G620" s="24">
        <v>-144.71</v>
      </c>
      <c r="H620" s="5">
        <v>6</v>
      </c>
      <c r="I620" s="25">
        <v>43346.072916666664</v>
      </c>
      <c r="J620" s="26">
        <v>43346.072916666664</v>
      </c>
      <c r="K620" s="7">
        <v>2.2908493800000005</v>
      </c>
      <c r="L620" s="7">
        <v>2.4879820830633093</v>
      </c>
      <c r="M620" s="7">
        <v>0.12710369236635796</v>
      </c>
      <c r="N620" s="6">
        <v>965.63400652630435</v>
      </c>
      <c r="O620" s="6">
        <v>111.10608104649684</v>
      </c>
      <c r="P620" s="67">
        <v>1.4964110000000002</v>
      </c>
      <c r="Q620" s="7">
        <v>0.27719716386663007</v>
      </c>
      <c r="R620" s="67">
        <v>1.4449853493400338</v>
      </c>
      <c r="S620" s="7">
        <v>0.31510359631970825</v>
      </c>
      <c r="T620" s="171">
        <f t="shared" si="18"/>
        <v>1.0216896510455888</v>
      </c>
      <c r="U620" s="171">
        <f t="shared" si="19"/>
        <v>0.25918693660030345</v>
      </c>
    </row>
    <row r="621" spans="1:21" s="42" customFormat="1">
      <c r="A621" s="5">
        <v>1048</v>
      </c>
      <c r="B621" s="28">
        <v>126.05500000000001</v>
      </c>
      <c r="C621" s="5" t="s">
        <v>131</v>
      </c>
      <c r="D621" s="5">
        <v>114</v>
      </c>
      <c r="E621" s="5">
        <v>3</v>
      </c>
      <c r="F621" s="24">
        <v>50.542999999999999</v>
      </c>
      <c r="G621" s="24">
        <v>-144.71</v>
      </c>
      <c r="H621" s="5">
        <v>5</v>
      </c>
      <c r="I621" s="25">
        <v>43346.072916666664</v>
      </c>
      <c r="J621" s="26">
        <v>43346.072916666664</v>
      </c>
      <c r="K621" s="7">
        <v>2.3140835400000004</v>
      </c>
      <c r="L621" s="7">
        <v>2.3639732619122444</v>
      </c>
      <c r="M621" s="7">
        <v>8.9710724665147901E-2</v>
      </c>
      <c r="N621" s="6">
        <v>941.05180892567898</v>
      </c>
      <c r="O621" s="6">
        <v>119.57627952663451</v>
      </c>
      <c r="P621" s="67">
        <v>1.3533445</v>
      </c>
      <c r="Q621" s="7">
        <v>0.28706106195440756</v>
      </c>
      <c r="R621" s="67">
        <v>1.2735672898246184</v>
      </c>
      <c r="S621" s="7">
        <v>0.31490240993454593</v>
      </c>
      <c r="T621" s="171">
        <f t="shared" si="18"/>
        <v>0.90048699837564572</v>
      </c>
      <c r="U621" s="171">
        <f t="shared" si="19"/>
        <v>0.25139597345226378</v>
      </c>
    </row>
    <row r="622" spans="1:21" s="42" customFormat="1">
      <c r="A622" s="5">
        <v>1049</v>
      </c>
      <c r="B622" s="28">
        <v>146.155</v>
      </c>
      <c r="C622" s="5" t="s">
        <v>131</v>
      </c>
      <c r="D622" s="5">
        <v>114</v>
      </c>
      <c r="E622" s="5">
        <v>3</v>
      </c>
      <c r="F622" s="24">
        <v>50.542999999999999</v>
      </c>
      <c r="G622" s="24">
        <v>-144.71</v>
      </c>
      <c r="H622" s="5">
        <v>4</v>
      </c>
      <c r="I622" s="25">
        <v>43346.072916666664</v>
      </c>
      <c r="J622" s="26">
        <v>43346.072916666664</v>
      </c>
      <c r="K622" s="7">
        <v>2.3306288400000001</v>
      </c>
      <c r="L622" s="7">
        <v>2.3545118724120169</v>
      </c>
      <c r="M622" s="7">
        <v>8.539187713839573E-2</v>
      </c>
      <c r="N622" s="6">
        <v>915.92828846655766</v>
      </c>
      <c r="O622" s="6">
        <v>149.5573544812718</v>
      </c>
      <c r="P622" s="67">
        <v>1.1503345</v>
      </c>
      <c r="Q622" s="7">
        <v>0.28786204621070755</v>
      </c>
      <c r="R622" s="67">
        <v>1.0536239097490334</v>
      </c>
      <c r="S622" s="7">
        <v>0.31482569576136249</v>
      </c>
      <c r="T622" s="171">
        <f t="shared" si="18"/>
        <v>0.74497408930577513</v>
      </c>
      <c r="U622" s="171">
        <f t="shared" si="19"/>
        <v>0.24264406353650256</v>
      </c>
    </row>
    <row r="623" spans="1:21" s="42" customFormat="1">
      <c r="A623" s="5">
        <v>1050</v>
      </c>
      <c r="B623" s="28">
        <v>199.208</v>
      </c>
      <c r="C623" s="5" t="s">
        <v>131</v>
      </c>
      <c r="D623" s="5">
        <v>114</v>
      </c>
      <c r="E623" s="5">
        <v>3</v>
      </c>
      <c r="F623" s="24">
        <v>50.542999999999999</v>
      </c>
      <c r="G623" s="24">
        <v>-144.71</v>
      </c>
      <c r="H623" s="5">
        <v>3</v>
      </c>
      <c r="I623" s="25">
        <v>43346.072916666664</v>
      </c>
      <c r="J623" s="26">
        <v>43346.072916666664</v>
      </c>
      <c r="K623" s="7">
        <v>2.3359893600000006</v>
      </c>
      <c r="L623" s="7">
        <v>2.2554288824520095</v>
      </c>
      <c r="M623" s="7">
        <v>8.2666928631076692E-2</v>
      </c>
      <c r="N623" s="6">
        <v>1132.2150252409497</v>
      </c>
      <c r="O623" s="6">
        <v>267.62976422074894</v>
      </c>
      <c r="P623" s="67">
        <v>1.0281256000000001</v>
      </c>
      <c r="Q623" s="7">
        <v>6.3408355054246399E-2</v>
      </c>
      <c r="R623" s="67">
        <v>1.1640592521548667</v>
      </c>
      <c r="S623" s="7">
        <v>0.28436852324035172</v>
      </c>
      <c r="T623" s="171">
        <f t="shared" si="18"/>
        <v>0.82305837334176823</v>
      </c>
      <c r="U623" s="171">
        <f t="shared" si="19"/>
        <v>0.22761765130769721</v>
      </c>
    </row>
    <row r="624" spans="1:21" s="42" customFormat="1">
      <c r="A624" s="5">
        <v>1051</v>
      </c>
      <c r="B624" s="28">
        <v>332.856999999999</v>
      </c>
      <c r="C624" s="5" t="s">
        <v>131</v>
      </c>
      <c r="D624" s="5">
        <v>114</v>
      </c>
      <c r="E624" s="5">
        <v>3</v>
      </c>
      <c r="F624" s="24">
        <v>50.542999999999999</v>
      </c>
      <c r="G624" s="24">
        <v>-144.71</v>
      </c>
      <c r="H624" s="5">
        <v>2</v>
      </c>
      <c r="I624" s="25">
        <v>43346.072916666664</v>
      </c>
      <c r="J624" s="26">
        <v>43346.072916666664</v>
      </c>
      <c r="K624" s="7">
        <v>2.3497129200000004</v>
      </c>
      <c r="L624" s="7">
        <v>2.2800083131090925</v>
      </c>
      <c r="M624" s="7">
        <v>8.1662866474976295E-2</v>
      </c>
      <c r="N624" s="6">
        <v>1436.401868722475</v>
      </c>
      <c r="O624" s="6">
        <v>445.67554017106767</v>
      </c>
      <c r="P624" s="67">
        <v>0.92885720000000038</v>
      </c>
      <c r="Q624" s="7">
        <v>0.14904042943946835</v>
      </c>
      <c r="R624" s="67">
        <v>1.3342122178563263</v>
      </c>
      <c r="S624" s="7">
        <v>0.46604866753091057</v>
      </c>
      <c r="T624" s="171">
        <f t="shared" si="18"/>
        <v>0.94336653025927308</v>
      </c>
      <c r="U624" s="171">
        <f t="shared" si="19"/>
        <v>0.3514816166253274</v>
      </c>
    </row>
    <row r="625" spans="1:21" s="42" customFormat="1">
      <c r="A625" s="5">
        <v>1052</v>
      </c>
      <c r="B625" s="28">
        <v>502.68099999999998</v>
      </c>
      <c r="C625" s="5" t="s">
        <v>131</v>
      </c>
      <c r="D625" s="5">
        <v>114</v>
      </c>
      <c r="E625" s="5">
        <v>3</v>
      </c>
      <c r="F625" s="24">
        <v>50.542999999999999</v>
      </c>
      <c r="G625" s="24">
        <v>-144.71</v>
      </c>
      <c r="H625" s="5">
        <v>1</v>
      </c>
      <c r="I625" s="25">
        <v>43346.072916666664</v>
      </c>
      <c r="J625" s="26">
        <v>43346.072916666664</v>
      </c>
      <c r="K625" s="7">
        <v>2.3649534600000002</v>
      </c>
      <c r="L625" s="7">
        <v>2.5295235612929101</v>
      </c>
      <c r="M625" s="7">
        <v>9.1656785736330015E-2</v>
      </c>
      <c r="N625" s="6">
        <v>1034.5103062797853</v>
      </c>
      <c r="O625" s="6">
        <v>498.72592030865781</v>
      </c>
      <c r="P625" s="68">
        <v>0.87680272990205399</v>
      </c>
      <c r="Q625" s="7">
        <v>0.15828163628098546</v>
      </c>
      <c r="R625" s="67">
        <v>0.9070614606579257</v>
      </c>
      <c r="S625" s="7">
        <v>0.46693640488138854</v>
      </c>
      <c r="T625" s="171">
        <f t="shared" si="18"/>
        <v>0.64134581547125369</v>
      </c>
      <c r="U625" s="171">
        <f t="shared" si="19"/>
        <v>0.34045758551467514</v>
      </c>
    </row>
    <row r="626" spans="1:21" s="42" customFormat="1">
      <c r="A626" s="5">
        <v>1095</v>
      </c>
      <c r="B626" s="28">
        <v>5.4239999999999897</v>
      </c>
      <c r="C626" s="5" t="s">
        <v>132</v>
      </c>
      <c r="D626" s="5">
        <v>115</v>
      </c>
      <c r="E626" s="5">
        <v>3</v>
      </c>
      <c r="F626" s="24">
        <v>50.491</v>
      </c>
      <c r="G626" s="24">
        <v>-144.791</v>
      </c>
      <c r="H626" s="5">
        <v>24</v>
      </c>
      <c r="I626" s="25">
        <v>43346.642361111109</v>
      </c>
      <c r="J626" s="26">
        <v>43346.642361111109</v>
      </c>
      <c r="K626" s="7">
        <v>2.2204630800000005</v>
      </c>
      <c r="L626" s="7">
        <v>1.3472134345544962</v>
      </c>
      <c r="M626" s="7">
        <v>8.6873865602074177E-2</v>
      </c>
      <c r="N626" s="6">
        <v>314.3476394244085</v>
      </c>
      <c r="O626" s="6">
        <v>31.272379808128463</v>
      </c>
      <c r="P626" s="7">
        <v>5.3045246601367619</v>
      </c>
      <c r="Q626" s="7">
        <v>1.8998610814664527</v>
      </c>
      <c r="R626" s="67">
        <v>1.6674648051825538</v>
      </c>
      <c r="S626" s="7">
        <v>0.61982725904461089</v>
      </c>
      <c r="T626" s="171">
        <f t="shared" si="18"/>
        <v>1.1789957148810275</v>
      </c>
      <c r="U626" s="171">
        <f t="shared" si="19"/>
        <v>0.46413693479241408</v>
      </c>
    </row>
    <row r="627" spans="1:21" s="42" customFormat="1">
      <c r="A627" s="5">
        <v>1094</v>
      </c>
      <c r="B627" s="28">
        <v>19.609000000000002</v>
      </c>
      <c r="C627" s="5" t="s">
        <v>132</v>
      </c>
      <c r="D627" s="5">
        <v>115</v>
      </c>
      <c r="E627" s="5">
        <v>3</v>
      </c>
      <c r="F627" s="24">
        <v>50.491</v>
      </c>
      <c r="G627" s="24">
        <v>-144.791</v>
      </c>
      <c r="H627" s="5">
        <v>20</v>
      </c>
      <c r="I627" s="25">
        <v>43346.642361111109</v>
      </c>
      <c r="J627" s="26">
        <v>43346.642361111109</v>
      </c>
      <c r="K627" s="7">
        <v>2.2232691000000004</v>
      </c>
      <c r="L627" s="7">
        <v>1.6440219443946158</v>
      </c>
      <c r="M627" s="7">
        <v>7.6203816948231709E-2</v>
      </c>
      <c r="N627" s="6">
        <v>514.06583756269401</v>
      </c>
      <c r="O627" s="6">
        <v>40.844808166673523</v>
      </c>
      <c r="P627" s="7">
        <v>5.3045246601367619</v>
      </c>
      <c r="Q627" s="7">
        <v>1.8998610814664527</v>
      </c>
      <c r="R627" s="67">
        <v>2.7268749122851696</v>
      </c>
      <c r="S627" s="7">
        <v>1.0003973989287924</v>
      </c>
      <c r="T627" s="171">
        <f t="shared" si="18"/>
        <v>1.9280609861200746</v>
      </c>
      <c r="U627" s="171">
        <f t="shared" si="19"/>
        <v>0.75019476223702275</v>
      </c>
    </row>
    <row r="628" spans="1:21" s="42" customFormat="1">
      <c r="A628" s="5">
        <v>1093</v>
      </c>
      <c r="B628" s="28">
        <v>29.401</v>
      </c>
      <c r="C628" s="5" t="s">
        <v>132</v>
      </c>
      <c r="D628" s="5">
        <v>115</v>
      </c>
      <c r="E628" s="5">
        <v>3</v>
      </c>
      <c r="F628" s="24">
        <v>50.491</v>
      </c>
      <c r="G628" s="24">
        <v>-144.791</v>
      </c>
      <c r="H628" s="5">
        <v>17</v>
      </c>
      <c r="I628" s="25">
        <v>43346.642361111109</v>
      </c>
      <c r="J628" s="26">
        <v>43346.642361111109</v>
      </c>
      <c r="K628" s="7">
        <v>2.2300994400000005</v>
      </c>
      <c r="L628" s="7">
        <v>1.6158384527756717</v>
      </c>
      <c r="M628" s="7">
        <v>6.4402519908044256E-2</v>
      </c>
      <c r="N628" s="6">
        <v>864.14701962449089</v>
      </c>
      <c r="O628" s="6">
        <v>54.913703546735078</v>
      </c>
      <c r="P628" s="7">
        <v>5.3045246601367619</v>
      </c>
      <c r="Q628" s="7">
        <v>1.8998610814664527</v>
      </c>
      <c r="R628" s="67">
        <v>4.583889175581799</v>
      </c>
      <c r="S628" s="7">
        <v>1.6674003934938393</v>
      </c>
      <c r="T628" s="171">
        <f t="shared" si="18"/>
        <v>3.2410793191576812</v>
      </c>
      <c r="U628" s="171">
        <f t="shared" si="19"/>
        <v>1.2515705151576972</v>
      </c>
    </row>
    <row r="629" spans="1:21" s="42" customFormat="1">
      <c r="A629" s="5">
        <v>1092</v>
      </c>
      <c r="B629" s="28">
        <v>59.241999999999997</v>
      </c>
      <c r="C629" s="5" t="s">
        <v>132</v>
      </c>
      <c r="D629" s="5">
        <v>115</v>
      </c>
      <c r="E629" s="5">
        <v>3</v>
      </c>
      <c r="F629" s="24">
        <v>50.491</v>
      </c>
      <c r="G629" s="24">
        <v>-144.791</v>
      </c>
      <c r="H629" s="5">
        <v>14</v>
      </c>
      <c r="I629" s="25">
        <v>43346.642361111109</v>
      </c>
      <c r="J629" s="26">
        <v>43346.642361111109</v>
      </c>
      <c r="K629" s="7">
        <v>2.2400816400000001</v>
      </c>
      <c r="L629" s="7">
        <v>1.8079977282620239</v>
      </c>
      <c r="M629" s="7">
        <v>0.11025808433003836</v>
      </c>
      <c r="N629" s="6">
        <v>1149.3964691957051</v>
      </c>
      <c r="O629" s="6">
        <v>91.179974386059314</v>
      </c>
      <c r="P629" s="67">
        <v>4.6227645999999991</v>
      </c>
      <c r="Q629" s="7">
        <v>1.488729081778621</v>
      </c>
      <c r="R629" s="67">
        <v>5.3133893091628952</v>
      </c>
      <c r="S629" s="7">
        <v>1.7622897543751896</v>
      </c>
      <c r="T629" s="171">
        <f t="shared" si="18"/>
        <v>3.7568788303822003</v>
      </c>
      <c r="U629" s="171">
        <f t="shared" si="19"/>
        <v>1.3378255513516197</v>
      </c>
    </row>
    <row r="630" spans="1:21" s="42" customFormat="1">
      <c r="A630" s="5">
        <v>1091</v>
      </c>
      <c r="B630" s="28">
        <v>75.31</v>
      </c>
      <c r="C630" s="5" t="s">
        <v>132</v>
      </c>
      <c r="D630" s="5">
        <v>115</v>
      </c>
      <c r="E630" s="5">
        <v>3</v>
      </c>
      <c r="F630" s="24">
        <v>50.491</v>
      </c>
      <c r="G630" s="24">
        <v>-144.791</v>
      </c>
      <c r="H630" s="5">
        <v>11</v>
      </c>
      <c r="I630" s="25">
        <v>43346.642361111109</v>
      </c>
      <c r="J630" s="26">
        <v>43346.642361111109</v>
      </c>
      <c r="K630" s="7">
        <v>2.2458508800000003</v>
      </c>
      <c r="L630" s="7">
        <v>2.092920883222245</v>
      </c>
      <c r="M630" s="7">
        <v>8.1601512981131552E-2</v>
      </c>
      <c r="N630" s="6">
        <v>1228.7609927960896</v>
      </c>
      <c r="O630" s="6">
        <v>100.53423751635079</v>
      </c>
      <c r="P630" s="67">
        <v>3.4385529999999989</v>
      </c>
      <c r="Q630" s="7">
        <v>0.89138713194512964</v>
      </c>
      <c r="R630" s="67">
        <v>4.2251597980619708</v>
      </c>
      <c r="S630" s="7">
        <v>1.1485595607543042</v>
      </c>
      <c r="T630" s="171">
        <f t="shared" si="18"/>
        <v>2.9874365450593623</v>
      </c>
      <c r="U630" s="171">
        <f t="shared" si="19"/>
        <v>0.89970281905410077</v>
      </c>
    </row>
    <row r="631" spans="1:21" s="42" customFormat="1">
      <c r="A631" s="5">
        <v>1090</v>
      </c>
      <c r="B631" s="28">
        <v>95.331000000000003</v>
      </c>
      <c r="C631" s="5" t="s">
        <v>132</v>
      </c>
      <c r="D631" s="5">
        <v>115</v>
      </c>
      <c r="E631" s="5">
        <v>3</v>
      </c>
      <c r="F631" s="24">
        <v>50.491</v>
      </c>
      <c r="G631" s="24">
        <v>-144.791</v>
      </c>
      <c r="H631" s="5">
        <v>10</v>
      </c>
      <c r="I631" s="25">
        <v>43346.642361111109</v>
      </c>
      <c r="J631" s="26">
        <v>43346.642361111109</v>
      </c>
      <c r="K631" s="7">
        <v>2.2636380599999999</v>
      </c>
      <c r="L631" s="7">
        <v>2.1951782177182571</v>
      </c>
      <c r="M631" s="7">
        <v>8.004268050918506E-2</v>
      </c>
      <c r="N631" s="6">
        <v>1263.1587487171021</v>
      </c>
      <c r="O631" s="6">
        <v>108.28012723211019</v>
      </c>
      <c r="P631" s="67">
        <v>1.963005299999999</v>
      </c>
      <c r="Q631" s="7">
        <v>0.35524726966994102</v>
      </c>
      <c r="R631" s="67">
        <v>2.4795873184730381</v>
      </c>
      <c r="S631" s="7">
        <v>0.49652928465030544</v>
      </c>
      <c r="T631" s="171">
        <f t="shared" si="18"/>
        <v>1.7532141092675078</v>
      </c>
      <c r="U631" s="171">
        <f t="shared" si="19"/>
        <v>0.41821204842588439</v>
      </c>
    </row>
    <row r="632" spans="1:21" s="42" customFormat="1">
      <c r="A632" s="5">
        <v>1089</v>
      </c>
      <c r="B632" s="28">
        <v>110.251</v>
      </c>
      <c r="C632" s="5" t="s">
        <v>132</v>
      </c>
      <c r="D632" s="5">
        <v>115</v>
      </c>
      <c r="E632" s="5">
        <v>3</v>
      </c>
      <c r="F632" s="24">
        <v>50.491</v>
      </c>
      <c r="G632" s="24">
        <v>-144.791</v>
      </c>
      <c r="H632" s="5">
        <v>7</v>
      </c>
      <c r="I632" s="25">
        <v>43346.642361111109</v>
      </c>
      <c r="J632" s="26">
        <v>43346.642361111109</v>
      </c>
      <c r="K632" s="7">
        <v>2.2976011199999999</v>
      </c>
      <c r="L632" s="7">
        <v>2.2442910528663096</v>
      </c>
      <c r="M632" s="7">
        <v>0.12501188101839286</v>
      </c>
      <c r="N632" s="6">
        <v>1286.0539874440149</v>
      </c>
      <c r="O632" s="6">
        <v>120.85991968002438</v>
      </c>
      <c r="P632" s="67">
        <v>1.5129649000000001</v>
      </c>
      <c r="Q632" s="7">
        <v>0.27555954557264034</v>
      </c>
      <c r="R632" s="67">
        <v>1.9457545425078353</v>
      </c>
      <c r="S632" s="7">
        <v>0.39877933163666274</v>
      </c>
      <c r="T632" s="171">
        <f t="shared" si="18"/>
        <v>1.375762931065811</v>
      </c>
      <c r="U632" s="171">
        <f t="shared" si="19"/>
        <v>0.3336232980142117</v>
      </c>
    </row>
    <row r="633" spans="1:21" s="42" customFormat="1">
      <c r="A633" s="5">
        <v>1088</v>
      </c>
      <c r="B633" s="28">
        <v>125.197</v>
      </c>
      <c r="C633" s="5" t="s">
        <v>132</v>
      </c>
      <c r="D633" s="5">
        <v>115</v>
      </c>
      <c r="E633" s="5">
        <v>3</v>
      </c>
      <c r="F633" s="24">
        <v>50.491</v>
      </c>
      <c r="G633" s="24">
        <v>-144.791</v>
      </c>
      <c r="H633" s="5">
        <v>6</v>
      </c>
      <c r="I633" s="25">
        <v>43346.642361111109</v>
      </c>
      <c r="J633" s="26">
        <v>43346.642361111109</v>
      </c>
      <c r="K633" s="7">
        <v>2.3176205400000001</v>
      </c>
      <c r="L633" s="7">
        <v>2.5205973002686086</v>
      </c>
      <c r="M633" s="7">
        <v>9.5951836648801206E-2</v>
      </c>
      <c r="N633" s="6">
        <v>1169.1908403166301</v>
      </c>
      <c r="O633" s="6">
        <v>132.88721460670587</v>
      </c>
      <c r="P633" s="67">
        <v>1.3620103000000001</v>
      </c>
      <c r="Q633" s="7">
        <v>0.28668234165050277</v>
      </c>
      <c r="R633" s="67">
        <v>1.5924499671769057</v>
      </c>
      <c r="S633" s="7">
        <v>0.38093128069571791</v>
      </c>
      <c r="T633" s="171">
        <f t="shared" si="18"/>
        <v>1.1259558112583115</v>
      </c>
      <c r="U633" s="171">
        <f t="shared" si="19"/>
        <v>0.30634377824318471</v>
      </c>
    </row>
    <row r="634" spans="1:21" s="42" customFormat="1">
      <c r="A634" s="5">
        <v>1087</v>
      </c>
      <c r="B634" s="28">
        <v>150.28899999999999</v>
      </c>
      <c r="C634" s="5" t="s">
        <v>132</v>
      </c>
      <c r="D634" s="5">
        <v>115</v>
      </c>
      <c r="E634" s="5">
        <v>3</v>
      </c>
      <c r="F634" s="24">
        <v>50.491</v>
      </c>
      <c r="G634" s="24">
        <v>-144.791</v>
      </c>
      <c r="H634" s="5">
        <v>5</v>
      </c>
      <c r="I634" s="25">
        <v>43346.642361111109</v>
      </c>
      <c r="J634" s="26">
        <v>43346.642361111109</v>
      </c>
      <c r="K634" s="7">
        <v>2.3330811600000003</v>
      </c>
      <c r="L634" s="7">
        <v>2.2444251158675099</v>
      </c>
      <c r="M634" s="7">
        <v>0.12456214297355664</v>
      </c>
      <c r="N634" s="6">
        <v>1259.1752658326213</v>
      </c>
      <c r="O634" s="6">
        <v>183.42078316108788</v>
      </c>
      <c r="P634" s="67">
        <v>1.1169601976727355</v>
      </c>
      <c r="Q634" s="7">
        <v>0.28766856890476489</v>
      </c>
      <c r="R634" s="67">
        <v>1.406448653829024</v>
      </c>
      <c r="S634" s="7">
        <v>0.41614936704872263</v>
      </c>
      <c r="T634" s="171">
        <f t="shared" si="18"/>
        <v>0.99444194019019772</v>
      </c>
      <c r="U634" s="171">
        <f t="shared" si="19"/>
        <v>0.32123949484898473</v>
      </c>
    </row>
    <row r="635" spans="1:21" s="42" customFormat="1">
      <c r="A635" s="5">
        <v>1086</v>
      </c>
      <c r="B635" s="28">
        <v>195.78</v>
      </c>
      <c r="C635" s="5" t="s">
        <v>132</v>
      </c>
      <c r="D635" s="5">
        <v>115</v>
      </c>
      <c r="E635" s="5">
        <v>3</v>
      </c>
      <c r="F635" s="24">
        <v>50.491</v>
      </c>
      <c r="G635" s="24">
        <v>-144.791</v>
      </c>
      <c r="H635" s="5">
        <v>3</v>
      </c>
      <c r="I635" s="25">
        <v>43346.642361111109</v>
      </c>
      <c r="J635" s="26">
        <v>43346.642361111109</v>
      </c>
      <c r="K635" s="7">
        <v>2.3369954400000004</v>
      </c>
      <c r="L635" s="7">
        <v>2.3652247198454255</v>
      </c>
      <c r="M635" s="7">
        <v>8.445628725998211E-2</v>
      </c>
      <c r="N635" s="6">
        <v>1185.9462527482733</v>
      </c>
      <c r="O635" s="6">
        <v>285.73068265790346</v>
      </c>
      <c r="P635" s="67">
        <v>1.0342960000000001</v>
      </c>
      <c r="Q635" s="7">
        <v>7.7907353275840002E-2</v>
      </c>
      <c r="R635" s="67">
        <v>1.2266194654325282</v>
      </c>
      <c r="S635" s="7">
        <v>0.30963636778917392</v>
      </c>
      <c r="T635" s="171">
        <f t="shared" si="18"/>
        <v>0.8672921245712768</v>
      </c>
      <c r="U635" s="171">
        <f t="shared" si="19"/>
        <v>0.24610919080733601</v>
      </c>
    </row>
    <row r="636" spans="1:21" s="42" customFormat="1">
      <c r="A636" s="5">
        <v>1085</v>
      </c>
      <c r="B636" s="28">
        <v>330.68400000000003</v>
      </c>
      <c r="C636" s="5" t="s">
        <v>132</v>
      </c>
      <c r="D636" s="5">
        <v>115</v>
      </c>
      <c r="E636" s="5">
        <v>3</v>
      </c>
      <c r="F636" s="24">
        <v>50.491</v>
      </c>
      <c r="G636" s="24">
        <v>-144.791</v>
      </c>
      <c r="H636" s="5">
        <v>2</v>
      </c>
      <c r="I636" s="25">
        <v>43346.642361111109</v>
      </c>
      <c r="J636" s="26">
        <v>43346.642361111109</v>
      </c>
      <c r="K636" s="7">
        <v>2.3526682800000001</v>
      </c>
      <c r="L636" s="7">
        <v>2.3194977578067237</v>
      </c>
      <c r="M636" s="7">
        <v>0.12684323537885681</v>
      </c>
      <c r="N636" s="6">
        <v>1250.2943962396032</v>
      </c>
      <c r="O636" s="6">
        <v>377.08133886980448</v>
      </c>
      <c r="P636" s="67">
        <v>0.92972640000000006</v>
      </c>
      <c r="Q636" s="7">
        <v>0.14893544177976964</v>
      </c>
      <c r="R636" s="67">
        <v>1.1624317079560198</v>
      </c>
      <c r="S636" s="7">
        <v>0.39696776802226597</v>
      </c>
      <c r="T636" s="171">
        <f t="shared" si="18"/>
        <v>0.82190760384411166</v>
      </c>
      <c r="U636" s="171">
        <f t="shared" si="19"/>
        <v>0.3002195226364357</v>
      </c>
    </row>
    <row r="637" spans="1:21" s="42" customFormat="1">
      <c r="A637" s="5">
        <v>1096</v>
      </c>
      <c r="B637" s="28">
        <v>5.0519999999999996</v>
      </c>
      <c r="C637" s="5" t="s">
        <v>133</v>
      </c>
      <c r="D637" s="5">
        <v>116</v>
      </c>
      <c r="E637" s="5">
        <v>3</v>
      </c>
      <c r="F637" s="24">
        <v>50.441000000000003</v>
      </c>
      <c r="G637" s="24">
        <v>-144.87</v>
      </c>
      <c r="H637" s="5">
        <v>13</v>
      </c>
      <c r="I637" s="25">
        <v>43346.76666666667</v>
      </c>
      <c r="J637" s="26">
        <v>43346.76666666667</v>
      </c>
      <c r="K637" s="7">
        <v>2.2200229200000003</v>
      </c>
      <c r="L637" s="7">
        <v>1.5275618575359058</v>
      </c>
      <c r="M637" s="7">
        <v>7.7198418851955858E-2</v>
      </c>
      <c r="N637" s="6">
        <v>250.07491722476061</v>
      </c>
      <c r="O637" s="6">
        <v>27.879384489270521</v>
      </c>
      <c r="P637" s="7">
        <v>5.3045246601367619</v>
      </c>
      <c r="Q637" s="7">
        <v>1.8998610814664527</v>
      </c>
      <c r="R637" s="67">
        <v>1.326528565300402</v>
      </c>
      <c r="S637" s="7">
        <v>0.49759196552552298</v>
      </c>
      <c r="T637" s="171">
        <f t="shared" si="18"/>
        <v>0.93793373586990203</v>
      </c>
      <c r="U637" s="171">
        <f t="shared" si="19"/>
        <v>0.37224149703439591</v>
      </c>
    </row>
    <row r="638" spans="1:21" s="42" customFormat="1">
      <c r="A638" s="5">
        <v>1097</v>
      </c>
      <c r="B638" s="28">
        <v>20.062000000000001</v>
      </c>
      <c r="C638" s="5" t="s">
        <v>133</v>
      </c>
      <c r="D638" s="5">
        <v>116</v>
      </c>
      <c r="E638" s="5">
        <v>3</v>
      </c>
      <c r="F638" s="24">
        <v>50.441000000000003</v>
      </c>
      <c r="G638" s="24">
        <v>-144.87</v>
      </c>
      <c r="H638" s="5">
        <v>12</v>
      </c>
      <c r="I638" s="25">
        <v>43346.76666666667</v>
      </c>
      <c r="J638" s="26">
        <v>43346.76666666667</v>
      </c>
      <c r="K638" s="7">
        <v>2.2231669200000002</v>
      </c>
      <c r="L638" s="7">
        <v>1.5368004680430176</v>
      </c>
      <c r="M638" s="7">
        <v>6.975213159729339E-2</v>
      </c>
      <c r="N638" s="6">
        <v>543.63682755716354</v>
      </c>
      <c r="O638" s="6">
        <v>40.832404244995615</v>
      </c>
      <c r="P638" s="7">
        <v>5.3045246601367619</v>
      </c>
      <c r="Q638" s="7">
        <v>1.8998610814664527</v>
      </c>
      <c r="R638" s="67">
        <v>2.8837349579354905</v>
      </c>
      <c r="S638" s="7">
        <v>1.055301400165394</v>
      </c>
      <c r="T638" s="171">
        <f t="shared" si="18"/>
        <v>2.0389702665336564</v>
      </c>
      <c r="U638" s="171">
        <f t="shared" si="19"/>
        <v>0.7915872794832729</v>
      </c>
    </row>
    <row r="639" spans="1:21" s="42" customFormat="1">
      <c r="A639" s="5">
        <v>1098</v>
      </c>
      <c r="B639" s="28">
        <v>34.795000000000002</v>
      </c>
      <c r="C639" s="5" t="s">
        <v>133</v>
      </c>
      <c r="D639" s="5">
        <v>116</v>
      </c>
      <c r="E639" s="5">
        <v>3</v>
      </c>
      <c r="F639" s="24">
        <v>50.441000000000003</v>
      </c>
      <c r="G639" s="24">
        <v>-144.87</v>
      </c>
      <c r="H639" s="5">
        <v>11</v>
      </c>
      <c r="I639" s="25">
        <v>43346.76666666667</v>
      </c>
      <c r="J639" s="26">
        <v>43346.76666666667</v>
      </c>
      <c r="K639" s="7">
        <v>2.2318443600000002</v>
      </c>
      <c r="L639" s="7">
        <v>1.7322464747936428</v>
      </c>
      <c r="M639" s="7">
        <v>6.6019323532811369E-2</v>
      </c>
      <c r="N639" s="6">
        <v>758.47367034661647</v>
      </c>
      <c r="O639" s="6">
        <v>49.731825832139357</v>
      </c>
      <c r="P639" s="7">
        <v>5.3045246601367619</v>
      </c>
      <c r="Q639" s="7">
        <v>1.8998610814664527</v>
      </c>
      <c r="R639" s="67">
        <v>4.0233422884180685</v>
      </c>
      <c r="S639" s="7">
        <v>1.4649429509215206</v>
      </c>
      <c r="T639" s="171">
        <f t="shared" si="18"/>
        <v>2.8447396927368502</v>
      </c>
      <c r="U639" s="171">
        <f t="shared" si="19"/>
        <v>1.0994815801372964</v>
      </c>
    </row>
    <row r="640" spans="1:21" s="42" customFormat="1">
      <c r="A640" s="5">
        <v>1099</v>
      </c>
      <c r="B640" s="28">
        <v>49.966000000000001</v>
      </c>
      <c r="C640" s="5" t="s">
        <v>133</v>
      </c>
      <c r="D640" s="5">
        <v>116</v>
      </c>
      <c r="E640" s="5">
        <v>3</v>
      </c>
      <c r="F640" s="24">
        <v>50.441000000000003</v>
      </c>
      <c r="G640" s="24">
        <v>-144.87</v>
      </c>
      <c r="H640" s="5">
        <v>10</v>
      </c>
      <c r="I640" s="25">
        <v>43346.76666666667</v>
      </c>
      <c r="J640" s="26">
        <v>43346.76666666667</v>
      </c>
      <c r="K640" s="7">
        <v>2.23551498</v>
      </c>
      <c r="L640" s="7">
        <v>1.7538915191897924</v>
      </c>
      <c r="M640" s="7">
        <v>8.4644535429052495E-2</v>
      </c>
      <c r="N640" s="6">
        <v>964.14753049410535</v>
      </c>
      <c r="O640" s="6">
        <v>61.480475497501864</v>
      </c>
      <c r="P640" s="7">
        <v>5.3045246601367619</v>
      </c>
      <c r="Q640" s="7">
        <v>1.8998610814664527</v>
      </c>
      <c r="R640" s="67">
        <v>5.1143443515159426</v>
      </c>
      <c r="S640" s="7">
        <v>1.8605515533918531</v>
      </c>
      <c r="T640" s="171">
        <f t="shared" si="18"/>
        <v>3.6161423354318671</v>
      </c>
      <c r="U640" s="171">
        <f t="shared" si="19"/>
        <v>1.3965354184110579</v>
      </c>
    </row>
    <row r="641" spans="1:21" s="42" customFormat="1">
      <c r="A641" s="5">
        <v>1100</v>
      </c>
      <c r="B641" s="28">
        <v>64.492000000000004</v>
      </c>
      <c r="C641" s="5" t="s">
        <v>133</v>
      </c>
      <c r="D641" s="5">
        <v>116</v>
      </c>
      <c r="E641" s="5">
        <v>3</v>
      </c>
      <c r="F641" s="24">
        <v>50.441000000000003</v>
      </c>
      <c r="G641" s="24">
        <v>-144.87</v>
      </c>
      <c r="H641" s="5">
        <v>9</v>
      </c>
      <c r="I641" s="25">
        <v>43346.76666666667</v>
      </c>
      <c r="J641" s="26">
        <v>43346.76666666667</v>
      </c>
      <c r="K641" s="7">
        <v>2.2416143399999999</v>
      </c>
      <c r="L641" s="7">
        <v>1.9758805410201496</v>
      </c>
      <c r="M641" s="7">
        <v>7.9485529891669737E-2</v>
      </c>
      <c r="N641" s="6">
        <v>1077.7648170821817</v>
      </c>
      <c r="O641" s="6">
        <v>70.248278767192986</v>
      </c>
      <c r="P641" s="67">
        <v>4.2358395999999985</v>
      </c>
      <c r="Q641" s="7">
        <v>1.2771936262601706</v>
      </c>
      <c r="R641" s="67">
        <v>4.5652388916834594</v>
      </c>
      <c r="S641" s="7">
        <v>1.4083089098445609</v>
      </c>
      <c r="T641" s="171">
        <f t="shared" si="18"/>
        <v>3.2278924712379435</v>
      </c>
      <c r="U641" s="171">
        <f t="shared" si="19"/>
        <v>1.0800946212595466</v>
      </c>
    </row>
    <row r="642" spans="1:21" s="42" customFormat="1">
      <c r="A642" s="5">
        <v>1101</v>
      </c>
      <c r="B642" s="28">
        <v>79.698999999999998</v>
      </c>
      <c r="C642" s="5" t="s">
        <v>133</v>
      </c>
      <c r="D642" s="5">
        <v>116</v>
      </c>
      <c r="E642" s="5">
        <v>3</v>
      </c>
      <c r="F642" s="24">
        <v>50.441000000000003</v>
      </c>
      <c r="G642" s="24">
        <v>-144.87</v>
      </c>
      <c r="H642" s="5">
        <v>8</v>
      </c>
      <c r="I642" s="25">
        <v>43346.76666666667</v>
      </c>
      <c r="J642" s="26">
        <v>43346.76666666667</v>
      </c>
      <c r="K642" s="7">
        <v>2.2440981000000004</v>
      </c>
      <c r="L642" s="7">
        <v>2.0786788006386692</v>
      </c>
      <c r="M642" s="7">
        <v>8.2836808583233085E-2</v>
      </c>
      <c r="N642" s="6">
        <v>1152.5425584242957</v>
      </c>
      <c r="O642" s="6">
        <v>79.605590310570463</v>
      </c>
      <c r="P642" s="67">
        <v>3.1150836999999996</v>
      </c>
      <c r="Q642" s="7">
        <v>0.75408889884717323</v>
      </c>
      <c r="R642" s="67">
        <v>3.5902665373038207</v>
      </c>
      <c r="S642" s="7">
        <v>0.90380413619715738</v>
      </c>
      <c r="T642" s="171">
        <f t="shared" si="18"/>
        <v>2.5385296586805808</v>
      </c>
      <c r="U642" s="171">
        <f t="shared" si="19"/>
        <v>0.71878661939729627</v>
      </c>
    </row>
    <row r="643" spans="1:21" s="42" customFormat="1">
      <c r="A643" s="5">
        <v>1102</v>
      </c>
      <c r="B643" s="28">
        <v>95.927999999999997</v>
      </c>
      <c r="C643" s="5" t="s">
        <v>133</v>
      </c>
      <c r="D643" s="5">
        <v>116</v>
      </c>
      <c r="E643" s="5">
        <v>3</v>
      </c>
      <c r="F643" s="24">
        <v>50.441000000000003</v>
      </c>
      <c r="G643" s="24">
        <v>-144.87</v>
      </c>
      <c r="H643" s="5">
        <v>7</v>
      </c>
      <c r="I643" s="25">
        <v>43346.76666666667</v>
      </c>
      <c r="J643" s="26">
        <v>43346.76666666667</v>
      </c>
      <c r="K643" s="7">
        <v>2.2606119600000003</v>
      </c>
      <c r="L643" s="7">
        <v>2.4048461046773495</v>
      </c>
      <c r="M643" s="7">
        <v>9.0353178463874945E-2</v>
      </c>
      <c r="N643" s="6">
        <v>1088.7913462911483</v>
      </c>
      <c r="O643" s="6">
        <v>89.061374800641815</v>
      </c>
      <c r="P643" s="67">
        <v>1.9190063999999989</v>
      </c>
      <c r="Q643" s="7">
        <v>0.34280640599166701</v>
      </c>
      <c r="R643" s="67">
        <v>2.0893975617973286</v>
      </c>
      <c r="S643" s="7">
        <v>0.41051379123784087</v>
      </c>
      <c r="T643" s="171">
        <f t="shared" si="18"/>
        <v>1.477326996279376</v>
      </c>
      <c r="U643" s="171">
        <f t="shared" si="19"/>
        <v>0.34773711787931549</v>
      </c>
    </row>
    <row r="644" spans="1:21" s="42" customFormat="1">
      <c r="A644" s="5">
        <v>1103</v>
      </c>
      <c r="B644" s="28">
        <v>110.43600000000001</v>
      </c>
      <c r="C644" s="5" t="s">
        <v>133</v>
      </c>
      <c r="D644" s="5">
        <v>116</v>
      </c>
      <c r="E644" s="5">
        <v>3</v>
      </c>
      <c r="F644" s="24">
        <v>50.441000000000003</v>
      </c>
      <c r="G644" s="24">
        <v>-144.87</v>
      </c>
      <c r="H644" s="5">
        <v>6</v>
      </c>
      <c r="I644" s="25">
        <v>43346.76666666667</v>
      </c>
      <c r="J644" s="26">
        <v>43346.76666666667</v>
      </c>
      <c r="K644" s="7">
        <v>2.28128376</v>
      </c>
      <c r="L644" s="7">
        <v>2.462515714017107</v>
      </c>
      <c r="M644" s="7">
        <v>0.10773307994309686</v>
      </c>
      <c r="N644" s="6">
        <v>1010.9649191514993</v>
      </c>
      <c r="O644" s="6">
        <v>100.36069251592541</v>
      </c>
      <c r="P644" s="67">
        <v>1.5110964</v>
      </c>
      <c r="Q644" s="7">
        <v>0.27574954338206881</v>
      </c>
      <c r="R644" s="67">
        <v>1.5276654498561217</v>
      </c>
      <c r="S644" s="7">
        <v>0.31735404814055801</v>
      </c>
      <c r="T644" s="171">
        <f t="shared" si="18"/>
        <v>1.0801493462136247</v>
      </c>
      <c r="U644" s="171">
        <f t="shared" si="19"/>
        <v>0.26448822574948361</v>
      </c>
    </row>
    <row r="645" spans="1:21" s="42" customFormat="1">
      <c r="A645" s="5">
        <v>1104</v>
      </c>
      <c r="B645" s="28">
        <v>125.791</v>
      </c>
      <c r="C645" s="5" t="s">
        <v>133</v>
      </c>
      <c r="D645" s="5">
        <v>116</v>
      </c>
      <c r="E645" s="5">
        <v>3</v>
      </c>
      <c r="F645" s="24">
        <v>50.441000000000003</v>
      </c>
      <c r="G645" s="24">
        <v>-144.87</v>
      </c>
      <c r="H645" s="5">
        <v>5</v>
      </c>
      <c r="I645" s="25">
        <v>43346.76666666667</v>
      </c>
      <c r="J645" s="26">
        <v>43346.76666666667</v>
      </c>
      <c r="K645" s="7">
        <v>2.3021284799999999</v>
      </c>
      <c r="L645" s="7">
        <v>2.3256491082346269</v>
      </c>
      <c r="M645" s="7">
        <v>9.0184108198717444E-2</v>
      </c>
      <c r="N645" s="6">
        <v>999.08809089809995</v>
      </c>
      <c r="O645" s="6">
        <v>110.20912315782448</v>
      </c>
      <c r="P645" s="67">
        <v>1.3560109000000002</v>
      </c>
      <c r="Q645" s="7">
        <v>0.28694753717764437</v>
      </c>
      <c r="R645" s="67">
        <v>1.3547743413180147</v>
      </c>
      <c r="S645" s="7">
        <v>0.32329943761316621</v>
      </c>
      <c r="T645" s="171">
        <f t="shared" si="18"/>
        <v>0.95790516122457925</v>
      </c>
      <c r="U645" s="171">
        <f t="shared" si="19"/>
        <v>0.26013844017979315</v>
      </c>
    </row>
    <row r="646" spans="1:21" s="42" customFormat="1">
      <c r="A646" s="5">
        <v>1105</v>
      </c>
      <c r="B646" s="28">
        <v>145.55099999999999</v>
      </c>
      <c r="C646" s="5" t="s">
        <v>133</v>
      </c>
      <c r="D646" s="5">
        <v>116</v>
      </c>
      <c r="E646" s="5">
        <v>3</v>
      </c>
      <c r="F646" s="24">
        <v>50.441000000000003</v>
      </c>
      <c r="G646" s="24">
        <v>-144.87</v>
      </c>
      <c r="H646" s="5">
        <v>4</v>
      </c>
      <c r="I646" s="25">
        <v>43346.76666666667</v>
      </c>
      <c r="J646" s="26">
        <v>43346.76666666667</v>
      </c>
      <c r="K646" s="7">
        <v>2.3290254000000004</v>
      </c>
      <c r="L646" s="7">
        <v>2.5654478884362071</v>
      </c>
      <c r="M646" s="7">
        <v>9.7465019446732706E-2</v>
      </c>
      <c r="N646" s="6">
        <v>761.85995973339857</v>
      </c>
      <c r="O646" s="6">
        <v>147.34426499136674</v>
      </c>
      <c r="P646" s="67">
        <v>1.1564349000000003</v>
      </c>
      <c r="Q646" s="7">
        <v>0.28806359348982036</v>
      </c>
      <c r="R646" s="67">
        <v>0.88104144634829695</v>
      </c>
      <c r="S646" s="7">
        <v>0.27784641687265033</v>
      </c>
      <c r="T646" s="171">
        <f t="shared" si="18"/>
        <v>0.62294813458656673</v>
      </c>
      <c r="U646" s="171">
        <f t="shared" si="19"/>
        <v>0.21240197391501084</v>
      </c>
    </row>
    <row r="647" spans="1:21" s="42" customFormat="1">
      <c r="A647" s="5">
        <v>1106</v>
      </c>
      <c r="B647" s="28">
        <v>195.56899999999999</v>
      </c>
      <c r="C647" s="5" t="s">
        <v>133</v>
      </c>
      <c r="D647" s="5">
        <v>116</v>
      </c>
      <c r="E647" s="5">
        <v>3</v>
      </c>
      <c r="F647" s="24">
        <v>50.441000000000003</v>
      </c>
      <c r="G647" s="24">
        <v>-144.87</v>
      </c>
      <c r="H647" s="5">
        <v>3</v>
      </c>
      <c r="I647" s="25">
        <v>43346.76666666667</v>
      </c>
      <c r="J647" s="26">
        <v>43346.76666666667</v>
      </c>
      <c r="K647" s="7">
        <v>2.3364137999999999</v>
      </c>
      <c r="L647" s="7">
        <v>2.2192287755971702</v>
      </c>
      <c r="M647" s="7">
        <v>8.5499608203574828E-2</v>
      </c>
      <c r="N647" s="6">
        <v>1070.7897584239206</v>
      </c>
      <c r="O647" s="6">
        <v>269.28609504529283</v>
      </c>
      <c r="P647" s="67">
        <v>1.0346758</v>
      </c>
      <c r="Q647" s="7">
        <v>7.8805298022743719E-2</v>
      </c>
      <c r="R647" s="67">
        <v>1.1079202499290768</v>
      </c>
      <c r="S647" s="7">
        <v>0.29112174217466708</v>
      </c>
      <c r="T647" s="171">
        <f t="shared" ref="T647:T710" si="20">R647*U$1</f>
        <v>0.78336479608833021</v>
      </c>
      <c r="U647" s="171">
        <f t="shared" ref="U647:U710" si="21">((((S647/R647)^2+(V$1/U$1)^2))^0.5)*T647</f>
        <v>0.22952411771167447</v>
      </c>
    </row>
    <row r="648" spans="1:21" s="42" customFormat="1">
      <c r="A648" s="5">
        <v>1107</v>
      </c>
      <c r="B648" s="28">
        <v>328.87900000000002</v>
      </c>
      <c r="C648" s="5" t="s">
        <v>133</v>
      </c>
      <c r="D648" s="5">
        <v>116</v>
      </c>
      <c r="E648" s="5">
        <v>3</v>
      </c>
      <c r="F648" s="24">
        <v>50.441000000000003</v>
      </c>
      <c r="G648" s="24">
        <v>-144.87</v>
      </c>
      <c r="H648" s="5">
        <v>2</v>
      </c>
      <c r="I648" s="25">
        <v>43346.76666666667</v>
      </c>
      <c r="J648" s="26">
        <v>43346.76666666667</v>
      </c>
      <c r="K648" s="7">
        <v>2.3525268000000001</v>
      </c>
      <c r="L648" s="7">
        <v>2.3367576951654807</v>
      </c>
      <c r="M648" s="7">
        <v>8.7638343421469325E-2</v>
      </c>
      <c r="N648" s="6">
        <v>1139.7183663177491</v>
      </c>
      <c r="O648" s="6">
        <v>468.25565665166658</v>
      </c>
      <c r="P648" s="67">
        <v>0.93978100734870584</v>
      </c>
      <c r="Q648" s="7">
        <v>0.1503684181233878</v>
      </c>
      <c r="R648" s="67">
        <v>1.0710856743919155</v>
      </c>
      <c r="S648" s="7">
        <v>0.47225114240234678</v>
      </c>
      <c r="T648" s="171">
        <f t="shared" si="20"/>
        <v>0.75732058419084414</v>
      </c>
      <c r="U648" s="171">
        <f t="shared" si="21"/>
        <v>0.34804074189375001</v>
      </c>
    </row>
    <row r="649" spans="1:21" s="42" customFormat="1">
      <c r="A649" s="5">
        <v>1108</v>
      </c>
      <c r="B649" s="28">
        <v>499.541</v>
      </c>
      <c r="C649" s="5" t="s">
        <v>133</v>
      </c>
      <c r="D649" s="5">
        <v>116</v>
      </c>
      <c r="E649" s="5">
        <v>3</v>
      </c>
      <c r="F649" s="24">
        <v>50.441000000000003</v>
      </c>
      <c r="G649" s="24">
        <v>-144.87</v>
      </c>
      <c r="H649" s="5">
        <v>1</v>
      </c>
      <c r="I649" s="25">
        <v>43346.76666666667</v>
      </c>
      <c r="J649" s="26">
        <v>43346.76666666667</v>
      </c>
      <c r="K649" s="7">
        <v>2.36434824</v>
      </c>
      <c r="L649" s="7">
        <v>2.5144927303761007</v>
      </c>
      <c r="M649" s="7">
        <v>9.6276329881552658E-2</v>
      </c>
      <c r="N649" s="6">
        <v>771.24583565952844</v>
      </c>
      <c r="O649" s="6">
        <v>524.48888028160911</v>
      </c>
      <c r="P649" s="68">
        <v>0.87680272990205399</v>
      </c>
      <c r="Q649" s="7">
        <v>0.15828163628098546</v>
      </c>
      <c r="R649" s="67">
        <v>0.67623045413186544</v>
      </c>
      <c r="S649" s="7">
        <v>0.47579986328963036</v>
      </c>
      <c r="T649" s="171">
        <f t="shared" si="20"/>
        <v>0.47813471397750745</v>
      </c>
      <c r="U649" s="171">
        <f t="shared" si="21"/>
        <v>0.34207997485379976</v>
      </c>
    </row>
    <row r="650" spans="1:21" s="42" customFormat="1">
      <c r="A650" s="5">
        <v>1109</v>
      </c>
      <c r="B650" s="28">
        <v>7.1260000000000003</v>
      </c>
      <c r="C650" s="5" t="s">
        <v>134</v>
      </c>
      <c r="D650" s="5">
        <v>118</v>
      </c>
      <c r="E650" s="5">
        <v>3</v>
      </c>
      <c r="F650" s="24">
        <v>50.491</v>
      </c>
      <c r="G650" s="24">
        <v>-144.95400000000001</v>
      </c>
      <c r="H650" s="5">
        <v>13</v>
      </c>
      <c r="I650" s="25">
        <v>43346.993055555555</v>
      </c>
      <c r="J650" s="26">
        <v>43346.993055555555</v>
      </c>
      <c r="K650" s="7">
        <v>2.2198421399999999</v>
      </c>
      <c r="L650" s="7">
        <v>1.5726106047237618</v>
      </c>
      <c r="M650" s="7">
        <v>6.8497630467679621E-2</v>
      </c>
      <c r="N650" s="6">
        <v>275.39042944301025</v>
      </c>
      <c r="O650" s="6">
        <v>29.145044458119518</v>
      </c>
      <c r="P650" s="7">
        <v>5.3045246601367619</v>
      </c>
      <c r="Q650" s="7">
        <v>1.8998610814664527</v>
      </c>
      <c r="R650" s="67">
        <v>1.4608153241461008</v>
      </c>
      <c r="S650" s="7">
        <v>0.54556696377459168</v>
      </c>
      <c r="T650" s="171">
        <f t="shared" si="20"/>
        <v>1.0328823745171853</v>
      </c>
      <c r="U650" s="171">
        <f t="shared" si="21"/>
        <v>0.40832258570782859</v>
      </c>
    </row>
    <row r="651" spans="1:21" s="42" customFormat="1">
      <c r="A651" s="5">
        <v>1110</v>
      </c>
      <c r="B651" s="28">
        <v>22.463000000000001</v>
      </c>
      <c r="C651" s="5" t="s">
        <v>134</v>
      </c>
      <c r="D651" s="5">
        <v>118</v>
      </c>
      <c r="E651" s="5">
        <v>3</v>
      </c>
      <c r="F651" s="24">
        <v>50.491</v>
      </c>
      <c r="G651" s="24">
        <v>-144.95400000000001</v>
      </c>
      <c r="H651" s="5">
        <v>12</v>
      </c>
      <c r="I651" s="25">
        <v>43346.993055555555</v>
      </c>
      <c r="J651" s="26">
        <v>43346.993055555555</v>
      </c>
      <c r="K651" s="7">
        <v>2.2216027800000004</v>
      </c>
      <c r="L651" s="7">
        <v>1.7358104639124203</v>
      </c>
      <c r="M651" s="7">
        <v>7.2115418224735536E-2</v>
      </c>
      <c r="N651" s="6">
        <v>485.86238906538119</v>
      </c>
      <c r="O651" s="6">
        <v>42.727556489061932</v>
      </c>
      <c r="P651" s="7">
        <v>5.3045246601367619</v>
      </c>
      <c r="Q651" s="7">
        <v>1.8998610814664527</v>
      </c>
      <c r="R651" s="67">
        <v>2.5772690242302767</v>
      </c>
      <c r="S651" s="7">
        <v>0.95048939619127037</v>
      </c>
      <c r="T651" s="171">
        <f t="shared" si="20"/>
        <v>1.8222808218914335</v>
      </c>
      <c r="U651" s="171">
        <f t="shared" si="21"/>
        <v>0.71235562387424212</v>
      </c>
    </row>
    <row r="652" spans="1:21" s="42" customFormat="1">
      <c r="A652" s="5">
        <v>1111</v>
      </c>
      <c r="B652" s="28">
        <v>37.255000000000003</v>
      </c>
      <c r="C652" s="5" t="s">
        <v>134</v>
      </c>
      <c r="D652" s="5">
        <v>118</v>
      </c>
      <c r="E652" s="5">
        <v>3</v>
      </c>
      <c r="F652" s="24">
        <v>50.491</v>
      </c>
      <c r="G652" s="24">
        <v>-144.95400000000001</v>
      </c>
      <c r="H652" s="5">
        <v>11</v>
      </c>
      <c r="I652" s="25">
        <v>43346.993055555555</v>
      </c>
      <c r="J652" s="26">
        <v>43346.993055555555</v>
      </c>
      <c r="K652" s="7">
        <v>2.2321509000000002</v>
      </c>
      <c r="L652" s="7">
        <v>1.6952166793156294</v>
      </c>
      <c r="M652" s="7">
        <v>6.5233788483659252E-2</v>
      </c>
      <c r="N652" s="6">
        <v>715.04049758690451</v>
      </c>
      <c r="O652" s="6">
        <v>50.999093218064218</v>
      </c>
      <c r="P652" s="7">
        <v>5.3045246601367619</v>
      </c>
      <c r="Q652" s="7">
        <v>1.8998610814664527</v>
      </c>
      <c r="R652" s="67">
        <v>3.7929499524461958</v>
      </c>
      <c r="S652" s="7">
        <v>1.3851518737887187</v>
      </c>
      <c r="T652" s="171">
        <f t="shared" si="20"/>
        <v>2.6818387571320774</v>
      </c>
      <c r="U652" s="171">
        <f t="shared" si="21"/>
        <v>1.039250648073188</v>
      </c>
    </row>
    <row r="653" spans="1:21" s="42" customFormat="1">
      <c r="A653" s="5">
        <v>1112</v>
      </c>
      <c r="B653" s="28">
        <v>52.145000000000003</v>
      </c>
      <c r="C653" s="5" t="s">
        <v>134</v>
      </c>
      <c r="D653" s="5">
        <v>118</v>
      </c>
      <c r="E653" s="5">
        <v>3</v>
      </c>
      <c r="F653" s="24">
        <v>50.491</v>
      </c>
      <c r="G653" s="24">
        <v>-144.95400000000001</v>
      </c>
      <c r="H653" s="5">
        <v>10</v>
      </c>
      <c r="I653" s="25">
        <v>43346.993055555555</v>
      </c>
      <c r="J653" s="26">
        <v>43346.993055555555</v>
      </c>
      <c r="K653" s="7">
        <v>2.2384153200000001</v>
      </c>
      <c r="L653" s="7">
        <v>1.7726788943963117</v>
      </c>
      <c r="M653" s="7">
        <v>7.2427936577018542E-2</v>
      </c>
      <c r="N653" s="6">
        <v>916.08644009853901</v>
      </c>
      <c r="O653" s="6">
        <v>59.819898676217143</v>
      </c>
      <c r="P653" s="67">
        <v>5.1458134999999992</v>
      </c>
      <c r="Q653" s="7">
        <v>1.7999293785311323</v>
      </c>
      <c r="R653" s="67">
        <v>4.7140099706260026</v>
      </c>
      <c r="S653" s="7">
        <v>1.677377595899034</v>
      </c>
      <c r="T653" s="171">
        <f t="shared" si="20"/>
        <v>3.3330823763120017</v>
      </c>
      <c r="U653" s="171">
        <f t="shared" si="21"/>
        <v>1.262250067102578</v>
      </c>
    </row>
    <row r="654" spans="1:21" s="42" customFormat="1">
      <c r="A654" s="5">
        <v>1113</v>
      </c>
      <c r="B654" s="28">
        <v>67.274000000000001</v>
      </c>
      <c r="C654" s="5" t="s">
        <v>134</v>
      </c>
      <c r="D654" s="5">
        <v>118</v>
      </c>
      <c r="E654" s="5">
        <v>3</v>
      </c>
      <c r="F654" s="24">
        <v>50.491</v>
      </c>
      <c r="G654" s="24">
        <v>-144.95400000000001</v>
      </c>
      <c r="H654" s="5">
        <v>9</v>
      </c>
      <c r="I654" s="25">
        <v>43346.993055555555</v>
      </c>
      <c r="J654" s="26">
        <v>43346.993055555555</v>
      </c>
      <c r="K654" s="7">
        <v>2.2434850200000001</v>
      </c>
      <c r="L654" s="7">
        <v>2.185488288005331</v>
      </c>
      <c r="M654" s="7">
        <v>8.5714981191026884E-2</v>
      </c>
      <c r="N654" s="6">
        <v>941.13458604324603</v>
      </c>
      <c r="O654" s="6">
        <v>70.348081711637789</v>
      </c>
      <c r="P654" s="67">
        <v>4.0308061999999989</v>
      </c>
      <c r="Q654" s="7">
        <v>1.1715374327719905</v>
      </c>
      <c r="R654" s="67">
        <v>3.7935311244575485</v>
      </c>
      <c r="S654" s="7">
        <v>1.1384534603830103</v>
      </c>
      <c r="T654" s="171">
        <f t="shared" si="20"/>
        <v>2.6822496799346842</v>
      </c>
      <c r="U654" s="171">
        <f t="shared" si="21"/>
        <v>0.87683319226714096</v>
      </c>
    </row>
    <row r="655" spans="1:21" s="42" customFormat="1">
      <c r="A655" s="5">
        <v>1114</v>
      </c>
      <c r="B655" s="28">
        <v>82.179000000000002</v>
      </c>
      <c r="C655" s="5" t="s">
        <v>134</v>
      </c>
      <c r="D655" s="5">
        <v>118</v>
      </c>
      <c r="E655" s="5">
        <v>3</v>
      </c>
      <c r="F655" s="24">
        <v>50.491</v>
      </c>
      <c r="G655" s="24">
        <v>-144.95400000000001</v>
      </c>
      <c r="H655" s="5">
        <v>8</v>
      </c>
      <c r="I655" s="25">
        <v>43346.993055555555</v>
      </c>
      <c r="J655" s="26">
        <v>43346.993055555555</v>
      </c>
      <c r="K655" s="7">
        <v>2.2464875400000004</v>
      </c>
      <c r="L655" s="7">
        <v>2.2218545782491095</v>
      </c>
      <c r="M655" s="7">
        <v>8.4599789213819568E-2</v>
      </c>
      <c r="N655" s="6">
        <v>951.68119157284548</v>
      </c>
      <c r="O655" s="6">
        <v>79.125489798999297</v>
      </c>
      <c r="P655" s="67">
        <v>2.9323076999999991</v>
      </c>
      <c r="Q655" s="7">
        <v>0.68141637537832489</v>
      </c>
      <c r="R655" s="67">
        <v>2.790622085994229</v>
      </c>
      <c r="S655" s="7">
        <v>0.68874827103943104</v>
      </c>
      <c r="T655" s="171">
        <f t="shared" si="20"/>
        <v>1.9731339882039352</v>
      </c>
      <c r="U655" s="171">
        <f t="shared" si="21"/>
        <v>0.55006549434222607</v>
      </c>
    </row>
    <row r="656" spans="1:21" s="42" customFormat="1">
      <c r="A656" s="5">
        <v>1115</v>
      </c>
      <c r="B656" s="28">
        <v>97.047999999999902</v>
      </c>
      <c r="C656" s="5" t="s">
        <v>134</v>
      </c>
      <c r="D656" s="5">
        <v>118</v>
      </c>
      <c r="E656" s="5">
        <v>3</v>
      </c>
      <c r="F656" s="24">
        <v>50.491</v>
      </c>
      <c r="G656" s="24">
        <v>-144.95400000000001</v>
      </c>
      <c r="H656" s="5">
        <v>7</v>
      </c>
      <c r="I656" s="25">
        <v>43346.993055555555</v>
      </c>
      <c r="J656" s="26">
        <v>43346.993055555555</v>
      </c>
      <c r="K656" s="7">
        <v>2.2587491400000004</v>
      </c>
      <c r="L656" s="7">
        <v>2.0718692807442887</v>
      </c>
      <c r="M656" s="7">
        <v>8.245606323196647E-2</v>
      </c>
      <c r="N656" s="6">
        <v>1031.2450412319533</v>
      </c>
      <c r="O656" s="6">
        <v>86.563522159195969</v>
      </c>
      <c r="P656" s="67">
        <v>1.8364624000000065</v>
      </c>
      <c r="Q656" s="7">
        <v>0.32002077717976507</v>
      </c>
      <c r="R656" s="67">
        <v>1.8938427434089387</v>
      </c>
      <c r="S656" s="7">
        <v>0.36631238475635353</v>
      </c>
      <c r="T656" s="171">
        <f t="shared" si="20"/>
        <v>1.339058235111126</v>
      </c>
      <c r="U656" s="171">
        <f t="shared" si="21"/>
        <v>0.31178800965711417</v>
      </c>
    </row>
    <row r="657" spans="1:21" s="42" customFormat="1">
      <c r="A657" s="5">
        <v>1116</v>
      </c>
      <c r="B657" s="28">
        <v>111.786</v>
      </c>
      <c r="C657" s="5" t="s">
        <v>134</v>
      </c>
      <c r="D657" s="5">
        <v>118</v>
      </c>
      <c r="E657" s="5">
        <v>3</v>
      </c>
      <c r="F657" s="24">
        <v>50.491</v>
      </c>
      <c r="G657" s="24">
        <v>-144.95400000000001</v>
      </c>
      <c r="H657" s="5">
        <v>6</v>
      </c>
      <c r="I657" s="25">
        <v>43346.993055555555</v>
      </c>
      <c r="J657" s="26">
        <v>43346.993055555555</v>
      </c>
      <c r="K657" s="7">
        <v>2.28742242</v>
      </c>
      <c r="L657" s="7">
        <v>2.5033362979516705</v>
      </c>
      <c r="M657" s="7">
        <v>9.1890914264083953E-2</v>
      </c>
      <c r="N657" s="6">
        <v>935.01047692648194</v>
      </c>
      <c r="O657" s="6">
        <v>95.763668959677673</v>
      </c>
      <c r="P657" s="67">
        <v>1.4974614000000002</v>
      </c>
      <c r="Q657" s="7">
        <v>0.27709631019497882</v>
      </c>
      <c r="R657" s="67">
        <v>1.4001420977929975</v>
      </c>
      <c r="S657" s="7">
        <v>0.2961263499913856</v>
      </c>
      <c r="T657" s="171">
        <f t="shared" si="20"/>
        <v>0.98998283405552978</v>
      </c>
      <c r="U657" s="171">
        <f t="shared" si="21"/>
        <v>0.24557521668331769</v>
      </c>
    </row>
    <row r="658" spans="1:21" s="42" customFormat="1">
      <c r="A658" s="5">
        <v>1117</v>
      </c>
      <c r="B658" s="28">
        <v>128.04300000000001</v>
      </c>
      <c r="C658" s="5" t="s">
        <v>134</v>
      </c>
      <c r="D658" s="5">
        <v>118</v>
      </c>
      <c r="E658" s="5">
        <v>3</v>
      </c>
      <c r="F658" s="24">
        <v>50.491</v>
      </c>
      <c r="G658" s="24">
        <v>-144.95400000000001</v>
      </c>
      <c r="H658" s="5">
        <v>5</v>
      </c>
      <c r="I658" s="25">
        <v>43346.993055555555</v>
      </c>
      <c r="J658" s="26">
        <v>43346.993055555555</v>
      </c>
      <c r="K658" s="7">
        <v>2.3049659400000002</v>
      </c>
      <c r="L658" s="7">
        <v>2.2899133147568129</v>
      </c>
      <c r="M658" s="7">
        <v>8.036903073861959E-2</v>
      </c>
      <c r="N658" s="6">
        <v>942.88560644125585</v>
      </c>
      <c r="O658" s="6">
        <v>104.5878757572204</v>
      </c>
      <c r="P658" s="67">
        <v>1.3332657000000001</v>
      </c>
      <c r="Q658" s="7">
        <v>0.28783016040781478</v>
      </c>
      <c r="R658" s="67">
        <v>1.2571170380918257</v>
      </c>
      <c r="S658" s="7">
        <v>0.30511882664602186</v>
      </c>
      <c r="T658" s="171">
        <f t="shared" si="20"/>
        <v>0.88885570262571623</v>
      </c>
      <c r="U658" s="171">
        <f t="shared" si="21"/>
        <v>0.24457642700710486</v>
      </c>
    </row>
    <row r="659" spans="1:21" s="42" customFormat="1">
      <c r="A659" s="5">
        <v>1118</v>
      </c>
      <c r="B659" s="28">
        <v>148.16800000000001</v>
      </c>
      <c r="C659" s="5" t="s">
        <v>134</v>
      </c>
      <c r="D659" s="5">
        <v>118</v>
      </c>
      <c r="E659" s="5">
        <v>3</v>
      </c>
      <c r="F659" s="24">
        <v>50.491</v>
      </c>
      <c r="G659" s="24">
        <v>-144.95400000000001</v>
      </c>
      <c r="H659" s="5">
        <v>4</v>
      </c>
      <c r="I659" s="25">
        <v>43346.993055555555</v>
      </c>
      <c r="J659" s="26">
        <v>43346.993055555555</v>
      </c>
      <c r="K659" s="7">
        <v>2.3226588000000001</v>
      </c>
      <c r="L659" s="7">
        <v>2.5222324117019226</v>
      </c>
      <c r="M659" s="7">
        <v>9.5228092664373029E-2</v>
      </c>
      <c r="N659" s="6">
        <v>743.29772921756887</v>
      </c>
      <c r="O659" s="6">
        <v>141.4507329469098</v>
      </c>
      <c r="P659" s="67">
        <v>1.1300032</v>
      </c>
      <c r="Q659" s="7">
        <v>0.28708939947422718</v>
      </c>
      <c r="R659" s="67">
        <v>0.83992881256858631</v>
      </c>
      <c r="S659" s="7">
        <v>0.26661823787931943</v>
      </c>
      <c r="T659" s="171">
        <f t="shared" si="20"/>
        <v>0.59387908383173227</v>
      </c>
      <c r="U659" s="171">
        <f t="shared" si="21"/>
        <v>0.20362709918473992</v>
      </c>
    </row>
    <row r="660" spans="1:21" s="42" customFormat="1">
      <c r="A660" s="5">
        <v>1119</v>
      </c>
      <c r="B660" s="28">
        <v>197.589</v>
      </c>
      <c r="C660" s="5" t="s">
        <v>134</v>
      </c>
      <c r="D660" s="5">
        <v>118</v>
      </c>
      <c r="E660" s="5">
        <v>3</v>
      </c>
      <c r="F660" s="24">
        <v>50.491</v>
      </c>
      <c r="G660" s="24">
        <v>-144.95400000000001</v>
      </c>
      <c r="H660" s="5">
        <v>3</v>
      </c>
      <c r="I660" s="25">
        <v>43346.993055555555</v>
      </c>
      <c r="J660" s="26">
        <v>43346.993055555555</v>
      </c>
      <c r="K660" s="7">
        <v>2.3359186200000002</v>
      </c>
      <c r="L660" s="7">
        <v>2.2919393898040763</v>
      </c>
      <c r="M660" s="7">
        <v>0.1018641832718158</v>
      </c>
      <c r="N660" s="6">
        <v>859.70309652137189</v>
      </c>
      <c r="O660" s="6">
        <v>304.46922430370495</v>
      </c>
      <c r="P660" s="67">
        <v>1.0310398000000001</v>
      </c>
      <c r="Q660" s="7">
        <v>7.0235051861959649E-2</v>
      </c>
      <c r="R660" s="67">
        <v>0.88638810869677609</v>
      </c>
      <c r="S660" s="7">
        <v>0.31967420373973227</v>
      </c>
      <c r="T660" s="171">
        <f t="shared" si="20"/>
        <v>0.6267285394132116</v>
      </c>
      <c r="U660" s="171">
        <f t="shared" si="21"/>
        <v>0.24018485985930235</v>
      </c>
    </row>
    <row r="661" spans="1:21" s="42" customFormat="1">
      <c r="A661" s="5">
        <v>1120</v>
      </c>
      <c r="B661" s="28">
        <v>332.23099999999999</v>
      </c>
      <c r="C661" s="5" t="s">
        <v>134</v>
      </c>
      <c r="D661" s="5">
        <v>118</v>
      </c>
      <c r="E661" s="5">
        <v>3</v>
      </c>
      <c r="F661" s="24">
        <v>50.491</v>
      </c>
      <c r="G661" s="24">
        <v>-144.95400000000001</v>
      </c>
      <c r="H661" s="5">
        <v>2</v>
      </c>
      <c r="I661" s="25">
        <v>43346.993055555555</v>
      </c>
      <c r="J661" s="26">
        <v>43346.993055555555</v>
      </c>
      <c r="K661" s="7">
        <v>2.3519294400000001</v>
      </c>
      <c r="L661" s="7">
        <v>2.6854263122199455</v>
      </c>
      <c r="M661" s="7">
        <v>0.10044943570107509</v>
      </c>
      <c r="N661" s="6">
        <v>214.00247371885519</v>
      </c>
      <c r="O661" s="6">
        <v>361.2839166051362</v>
      </c>
      <c r="P661" s="67">
        <v>0.92910760000000003</v>
      </c>
      <c r="Q661" s="7">
        <v>0.14901023136172761</v>
      </c>
      <c r="R661" s="67">
        <v>0.19883132475098861</v>
      </c>
      <c r="S661" s="7">
        <v>0.33718292531225125</v>
      </c>
      <c r="T661" s="171">
        <f t="shared" si="20"/>
        <v>0.14058544392477845</v>
      </c>
      <c r="U661" s="171">
        <f t="shared" si="21"/>
        <v>0.23910362921053824</v>
      </c>
    </row>
    <row r="662" spans="1:21" s="42" customFormat="1">
      <c r="A662" s="5">
        <v>1133</v>
      </c>
      <c r="B662" s="28">
        <v>5.0999999999999996</v>
      </c>
      <c r="C662" s="5" t="s">
        <v>135</v>
      </c>
      <c r="D662" s="5">
        <v>119</v>
      </c>
      <c r="E662" s="5">
        <v>3</v>
      </c>
      <c r="F662" s="24">
        <v>50.542999999999999</v>
      </c>
      <c r="G662" s="24">
        <v>-144.869</v>
      </c>
      <c r="H662" s="5">
        <v>23</v>
      </c>
      <c r="I662" s="25">
        <v>43347.171527777777</v>
      </c>
      <c r="J662" s="26">
        <v>43347.171527777777</v>
      </c>
      <c r="K662" s="7">
        <v>2.22006222</v>
      </c>
      <c r="L662" s="7">
        <v>1.5453345654901436</v>
      </c>
      <c r="M662" s="7">
        <v>6.2699791456381535E-2</v>
      </c>
      <c r="N662" s="6">
        <v>197.20501313038639</v>
      </c>
      <c r="O662" s="6">
        <v>18.325487498226732</v>
      </c>
      <c r="P662" s="7">
        <v>5.3045246601367619</v>
      </c>
      <c r="Q662" s="7">
        <v>1.8998610814664527</v>
      </c>
      <c r="R662" s="67">
        <v>1.0460788552527285</v>
      </c>
      <c r="S662" s="7">
        <v>0.38706731536594119</v>
      </c>
      <c r="T662" s="171">
        <f t="shared" si="20"/>
        <v>0.73963929189833399</v>
      </c>
      <c r="U662" s="171">
        <f t="shared" si="21"/>
        <v>0.28998718612969304</v>
      </c>
    </row>
    <row r="663" spans="1:21" s="42" customFormat="1">
      <c r="A663" s="5">
        <v>1132</v>
      </c>
      <c r="B663" s="28">
        <v>15.225</v>
      </c>
      <c r="C663" s="5" t="s">
        <v>135</v>
      </c>
      <c r="D663" s="5">
        <v>119</v>
      </c>
      <c r="E663" s="5">
        <v>3</v>
      </c>
      <c r="F663" s="24">
        <v>50.542999999999999</v>
      </c>
      <c r="G663" s="24">
        <v>-144.869</v>
      </c>
      <c r="H663" s="5">
        <v>21</v>
      </c>
      <c r="I663" s="25">
        <v>43347.171527777777</v>
      </c>
      <c r="J663" s="26">
        <v>43347.171527777777</v>
      </c>
      <c r="K663" s="7">
        <v>2.2223494800000001</v>
      </c>
      <c r="L663" s="7">
        <v>1.441473573887313</v>
      </c>
      <c r="M663" s="7">
        <v>6.2596238050834488E-2</v>
      </c>
      <c r="N663" s="6">
        <v>426.29897993141526</v>
      </c>
      <c r="O663" s="6">
        <v>25.943776203130504</v>
      </c>
      <c r="P663" s="7">
        <v>5.3045246601367619</v>
      </c>
      <c r="Q663" s="7">
        <v>1.8998610814664527</v>
      </c>
      <c r="R663" s="67">
        <v>2.261313451637339</v>
      </c>
      <c r="S663" s="7">
        <v>0.82151776014274946</v>
      </c>
      <c r="T663" s="171">
        <f t="shared" si="20"/>
        <v>1.5988816442763638</v>
      </c>
      <c r="U663" s="171">
        <f t="shared" si="21"/>
        <v>0.61672901216931786</v>
      </c>
    </row>
    <row r="664" spans="1:21" s="42" customFormat="1">
      <c r="A664" s="5">
        <v>1131</v>
      </c>
      <c r="B664" s="28">
        <v>25.501999999999999</v>
      </c>
      <c r="C664" s="5" t="s">
        <v>135</v>
      </c>
      <c r="D664" s="5">
        <v>119</v>
      </c>
      <c r="E664" s="5">
        <v>3</v>
      </c>
      <c r="F664" s="24">
        <v>50.542999999999999</v>
      </c>
      <c r="G664" s="24">
        <v>-144.869</v>
      </c>
      <c r="H664" s="5">
        <v>19</v>
      </c>
      <c r="I664" s="25">
        <v>43347.171527777777</v>
      </c>
      <c r="J664" s="26">
        <v>43347.171527777777</v>
      </c>
      <c r="K664" s="7">
        <v>2.2233084000000001</v>
      </c>
      <c r="L664" s="7">
        <v>1.6825230005924845</v>
      </c>
      <c r="M664" s="7">
        <v>6.9682427138609226E-2</v>
      </c>
      <c r="N664" s="6">
        <v>697.25536188839146</v>
      </c>
      <c r="O664" s="6">
        <v>43.497772249369703</v>
      </c>
      <c r="P664" s="7">
        <v>5.3045246601367619</v>
      </c>
      <c r="Q664" s="7">
        <v>1.8998610814664527</v>
      </c>
      <c r="R664" s="67">
        <v>3.6986082615495546</v>
      </c>
      <c r="S664" s="7">
        <v>1.3446329623929878</v>
      </c>
      <c r="T664" s="171">
        <f t="shared" si="20"/>
        <v>2.6151336315089955</v>
      </c>
      <c r="U664" s="171">
        <f t="shared" si="21"/>
        <v>1.0093604311664188</v>
      </c>
    </row>
    <row r="665" spans="1:21" s="42" customFormat="1">
      <c r="A665" s="5">
        <v>1130</v>
      </c>
      <c r="B665" s="28">
        <v>50.067999999999998</v>
      </c>
      <c r="C665" s="5" t="s">
        <v>135</v>
      </c>
      <c r="D665" s="5">
        <v>119</v>
      </c>
      <c r="E665" s="5">
        <v>3</v>
      </c>
      <c r="F665" s="24">
        <v>50.542999999999999</v>
      </c>
      <c r="G665" s="24">
        <v>-144.869</v>
      </c>
      <c r="H665" s="5">
        <v>17</v>
      </c>
      <c r="I665" s="25">
        <v>43347.171527777777</v>
      </c>
      <c r="J665" s="26">
        <v>43347.171527777777</v>
      </c>
      <c r="K665" s="7">
        <v>2.2384074600000003</v>
      </c>
      <c r="L665" s="7">
        <v>1.9362825540237931</v>
      </c>
      <c r="M665" s="7">
        <v>7.8477187075762983E-2</v>
      </c>
      <c r="N665" s="6">
        <v>912.88437262284333</v>
      </c>
      <c r="O665" s="6">
        <v>70.916534541177896</v>
      </c>
      <c r="P665" s="7">
        <v>5.3045246601367619</v>
      </c>
      <c r="Q665" s="7">
        <v>1.8998610814664527</v>
      </c>
      <c r="R665" s="67">
        <v>4.8424176664313494</v>
      </c>
      <c r="S665" s="7">
        <v>1.7746809014043048</v>
      </c>
      <c r="T665" s="171">
        <f t="shared" si="20"/>
        <v>3.4238741715221415</v>
      </c>
      <c r="U665" s="171">
        <f t="shared" si="21"/>
        <v>1.3309804071959646</v>
      </c>
    </row>
    <row r="666" spans="1:21" s="42" customFormat="1">
      <c r="A666" s="5">
        <v>1129</v>
      </c>
      <c r="B666" s="28">
        <v>75.134</v>
      </c>
      <c r="C666" s="5" t="s">
        <v>135</v>
      </c>
      <c r="D666" s="5">
        <v>119</v>
      </c>
      <c r="E666" s="5">
        <v>3</v>
      </c>
      <c r="F666" s="24">
        <v>50.542999999999999</v>
      </c>
      <c r="G666" s="24">
        <v>-144.869</v>
      </c>
      <c r="H666" s="5">
        <v>15</v>
      </c>
      <c r="I666" s="25">
        <v>43347.171527777777</v>
      </c>
      <c r="J666" s="26">
        <v>43347.171527777777</v>
      </c>
      <c r="K666" s="7">
        <v>2.2431156000000003</v>
      </c>
      <c r="L666" s="7">
        <v>2.1975173709853495</v>
      </c>
      <c r="M666" s="7">
        <v>8.4587454211498048E-2</v>
      </c>
      <c r="N666" s="6">
        <v>942.37787256755928</v>
      </c>
      <c r="O666" s="6">
        <v>89.568863236531968</v>
      </c>
      <c r="P666" s="67">
        <v>3.4515241999999988</v>
      </c>
      <c r="Q666" s="7">
        <v>0.89712429118389447</v>
      </c>
      <c r="R666" s="67">
        <v>3.2526400327114455</v>
      </c>
      <c r="S666" s="7">
        <v>0.90018064143385756</v>
      </c>
      <c r="T666" s="171">
        <f t="shared" si="20"/>
        <v>2.2998078572323695</v>
      </c>
      <c r="U666" s="171">
        <f t="shared" si="21"/>
        <v>0.70283633881456131</v>
      </c>
    </row>
    <row r="667" spans="1:21" s="42" customFormat="1">
      <c r="A667" s="5">
        <v>1128</v>
      </c>
      <c r="B667" s="28">
        <v>95.047999999999902</v>
      </c>
      <c r="C667" s="5" t="s">
        <v>135</v>
      </c>
      <c r="D667" s="5">
        <v>119</v>
      </c>
      <c r="E667" s="5">
        <v>3</v>
      </c>
      <c r="F667" s="24">
        <v>50.542999999999999</v>
      </c>
      <c r="G667" s="24">
        <v>-144.869</v>
      </c>
      <c r="H667" s="5">
        <v>13</v>
      </c>
      <c r="I667" s="25">
        <v>43347.171527777777</v>
      </c>
      <c r="J667" s="26">
        <v>43347.171527777777</v>
      </c>
      <c r="K667" s="7">
        <v>2.2659174600000003</v>
      </c>
      <c r="L667" s="7">
        <v>2.3102703475737325</v>
      </c>
      <c r="M667" s="7">
        <v>8.7951832192200805E-2</v>
      </c>
      <c r="N667" s="6">
        <v>920.10226104642481</v>
      </c>
      <c r="O667" s="6">
        <v>99.868898232910951</v>
      </c>
      <c r="P667" s="67">
        <v>1.9838624000000067</v>
      </c>
      <c r="Q667" s="7">
        <v>0.36121644426616512</v>
      </c>
      <c r="R667" s="67">
        <v>1.8253562798449929</v>
      </c>
      <c r="S667" s="7">
        <v>0.38692961568626999</v>
      </c>
      <c r="T667" s="171">
        <f t="shared" si="20"/>
        <v>1.2906342762855556</v>
      </c>
      <c r="U667" s="171">
        <f t="shared" si="21"/>
        <v>0.32068042966527494</v>
      </c>
    </row>
    <row r="668" spans="1:21" s="42" customFormat="1">
      <c r="A668" s="5">
        <v>1127</v>
      </c>
      <c r="B668" s="28">
        <v>110.06</v>
      </c>
      <c r="C668" s="5" t="s">
        <v>135</v>
      </c>
      <c r="D668" s="5">
        <v>119</v>
      </c>
      <c r="E668" s="5">
        <v>3</v>
      </c>
      <c r="F668" s="24">
        <v>50.542999999999999</v>
      </c>
      <c r="G668" s="24">
        <v>-144.869</v>
      </c>
      <c r="H668" s="5">
        <v>11</v>
      </c>
      <c r="I668" s="25">
        <v>43347.171527777777</v>
      </c>
      <c r="J668" s="26">
        <v>43347.171527777777</v>
      </c>
      <c r="K668" s="7">
        <v>2.296878</v>
      </c>
      <c r="L668" s="7">
        <v>2.6051616284457499</v>
      </c>
      <c r="M668" s="7">
        <v>9.4047216799037062E-2</v>
      </c>
      <c r="N668" s="6">
        <v>787.06880566773441</v>
      </c>
      <c r="O668" s="6">
        <v>107.80013603098894</v>
      </c>
      <c r="P668" s="67">
        <v>1.5148940000000002</v>
      </c>
      <c r="Q668" s="7">
        <v>0.27536200969908003</v>
      </c>
      <c r="R668" s="67">
        <v>1.1923258112932169</v>
      </c>
      <c r="S668" s="7">
        <v>0.27136722562353344</v>
      </c>
      <c r="T668" s="171">
        <f t="shared" si="20"/>
        <v>0.84304449358548605</v>
      </c>
      <c r="U668" s="171">
        <f t="shared" si="21"/>
        <v>0.22081021981228763</v>
      </c>
    </row>
    <row r="669" spans="1:21" s="42" customFormat="1">
      <c r="A669" s="5">
        <v>1126</v>
      </c>
      <c r="B669" s="28">
        <v>125.057</v>
      </c>
      <c r="C669" s="5" t="s">
        <v>135</v>
      </c>
      <c r="D669" s="5">
        <v>119</v>
      </c>
      <c r="E669" s="5">
        <v>3</v>
      </c>
      <c r="F669" s="24">
        <v>50.542999999999999</v>
      </c>
      <c r="G669" s="24">
        <v>-144.869</v>
      </c>
      <c r="H669" s="5">
        <v>9</v>
      </c>
      <c r="I669" s="25">
        <v>43347.171527777777</v>
      </c>
      <c r="J669" s="26">
        <v>43347.171527777777</v>
      </c>
      <c r="K669" s="7">
        <v>2.3158205999999999</v>
      </c>
      <c r="L669" s="7">
        <v>2.4843308958558006</v>
      </c>
      <c r="M669" s="7">
        <v>9.2547155134087247E-2</v>
      </c>
      <c r="N669" s="6">
        <v>691.4889704897281</v>
      </c>
      <c r="O669" s="6">
        <v>119.90164140788092</v>
      </c>
      <c r="P669" s="67">
        <v>1.3634243000000001</v>
      </c>
      <c r="Q669" s="7">
        <v>0.28661786880343476</v>
      </c>
      <c r="R669" s="67">
        <v>0.94279286554767827</v>
      </c>
      <c r="S669" s="7">
        <v>0.25691471506066843</v>
      </c>
      <c r="T669" s="171">
        <f t="shared" si="20"/>
        <v>0.66661002082105425</v>
      </c>
      <c r="U669" s="171">
        <f t="shared" si="21"/>
        <v>0.20115838016524978</v>
      </c>
    </row>
    <row r="670" spans="1:21" s="42" customFormat="1">
      <c r="A670" s="5">
        <v>1125</v>
      </c>
      <c r="B670" s="28">
        <v>149.50399999999999</v>
      </c>
      <c r="C670" s="5" t="s">
        <v>135</v>
      </c>
      <c r="D670" s="5">
        <v>119</v>
      </c>
      <c r="E670" s="5">
        <v>3</v>
      </c>
      <c r="F670" s="24">
        <v>50.542999999999999</v>
      </c>
      <c r="G670" s="24">
        <v>-144.869</v>
      </c>
      <c r="H670" s="5">
        <v>7</v>
      </c>
      <c r="I670" s="25">
        <v>43347.171527777777</v>
      </c>
      <c r="J670" s="26">
        <v>43347.171527777777</v>
      </c>
      <c r="K670" s="7">
        <v>2.33191002</v>
      </c>
      <c r="L670" s="7">
        <v>2.5172178115264914</v>
      </c>
      <c r="M670" s="7">
        <v>0.11005992930704406</v>
      </c>
      <c r="N670" s="6">
        <v>504.10277047963154</v>
      </c>
      <c r="O670" s="6">
        <v>163.59351459725187</v>
      </c>
      <c r="P670" s="67">
        <v>1.1169601976727355</v>
      </c>
      <c r="Q670" s="7">
        <v>0.28766856890476489</v>
      </c>
      <c r="R670" s="67">
        <v>0.56306273016230279</v>
      </c>
      <c r="S670" s="7">
        <v>0.23327779725592224</v>
      </c>
      <c r="T670" s="171">
        <f t="shared" si="20"/>
        <v>0.39811847542886469</v>
      </c>
      <c r="U670" s="171">
        <f t="shared" si="21"/>
        <v>0.17282583773143634</v>
      </c>
    </row>
    <row r="671" spans="1:21" s="42" customFormat="1">
      <c r="A671" s="5">
        <v>1124</v>
      </c>
      <c r="B671" s="28">
        <v>195.37799999999999</v>
      </c>
      <c r="C671" s="5" t="s">
        <v>135</v>
      </c>
      <c r="D671" s="5">
        <v>119</v>
      </c>
      <c r="E671" s="5">
        <v>3</v>
      </c>
      <c r="F671" s="24">
        <v>50.542999999999999</v>
      </c>
      <c r="G671" s="24">
        <v>-144.869</v>
      </c>
      <c r="H671" s="5">
        <v>5</v>
      </c>
      <c r="I671" s="25">
        <v>43347.171527777777</v>
      </c>
      <c r="J671" s="26">
        <v>43347.171527777777</v>
      </c>
      <c r="K671" s="7">
        <v>2.3362330199999999</v>
      </c>
      <c r="L671" s="7">
        <v>2.4450213393676101</v>
      </c>
      <c r="M671" s="7">
        <v>8.5553465065645554E-2</v>
      </c>
      <c r="N671" s="6">
        <v>221.50606208754243</v>
      </c>
      <c r="O671" s="6">
        <v>275.95924100762016</v>
      </c>
      <c r="P671" s="67">
        <v>1.0350196</v>
      </c>
      <c r="Q671" s="7">
        <v>7.961867986615849E-2</v>
      </c>
      <c r="R671" s="67">
        <v>0.22926311577942335</v>
      </c>
      <c r="S671" s="7">
        <v>0.28616717992531371</v>
      </c>
      <c r="T671" s="171">
        <f t="shared" si="20"/>
        <v>0.16210251049623836</v>
      </c>
      <c r="U671" s="171">
        <f t="shared" si="21"/>
        <v>0.20342517507382193</v>
      </c>
    </row>
    <row r="672" spans="1:21" s="42" customFormat="1">
      <c r="A672" s="5">
        <v>1123</v>
      </c>
      <c r="B672" s="28">
        <v>330.149</v>
      </c>
      <c r="C672" s="5" t="s">
        <v>135</v>
      </c>
      <c r="D672" s="5">
        <v>119</v>
      </c>
      <c r="E672" s="5">
        <v>3</v>
      </c>
      <c r="F672" s="24">
        <v>50.542999999999999</v>
      </c>
      <c r="G672" s="24">
        <v>-144.869</v>
      </c>
      <c r="H672" s="5">
        <v>3</v>
      </c>
      <c r="I672" s="25">
        <v>43347.171527777777</v>
      </c>
      <c r="J672" s="26">
        <v>43347.171527777777</v>
      </c>
      <c r="K672" s="7">
        <v>2.3520159</v>
      </c>
      <c r="L672" s="7">
        <v>2.4653548926481732</v>
      </c>
      <c r="M672" s="7">
        <v>8.5940051715444957E-2</v>
      </c>
      <c r="N672" s="6">
        <v>-274.5280462037984</v>
      </c>
      <c r="O672" s="6">
        <v>466.49828845736192</v>
      </c>
      <c r="P672" s="67">
        <v>0.93978100734870584</v>
      </c>
      <c r="Q672" s="7">
        <v>0.1503684181233878</v>
      </c>
      <c r="R672" s="67">
        <v>-0.25799624380687769</v>
      </c>
      <c r="S672" s="7">
        <v>-0.4403454222663068</v>
      </c>
      <c r="T672" s="171">
        <f t="shared" si="20"/>
        <v>-0.18241852239298592</v>
      </c>
      <c r="U672" s="171">
        <f t="shared" si="21"/>
        <v>-0.31224674712530914</v>
      </c>
    </row>
    <row r="673" spans="1:21" s="42" customFormat="1">
      <c r="A673" s="5">
        <v>1122</v>
      </c>
      <c r="B673" s="28">
        <v>499.72800000000001</v>
      </c>
      <c r="C673" s="5" t="s">
        <v>135</v>
      </c>
      <c r="D673" s="5">
        <v>119</v>
      </c>
      <c r="E673" s="5">
        <v>3</v>
      </c>
      <c r="F673" s="24">
        <v>50.542999999999999</v>
      </c>
      <c r="G673" s="24">
        <v>-144.869</v>
      </c>
      <c r="H673" s="5">
        <v>1</v>
      </c>
      <c r="I673" s="25">
        <v>43347.171527777777</v>
      </c>
      <c r="J673" s="26">
        <v>43347.171527777777</v>
      </c>
      <c r="K673" s="7">
        <v>2.3650634999999998</v>
      </c>
      <c r="L673" s="7">
        <v>2.3802737558276519</v>
      </c>
      <c r="M673" s="7">
        <v>0.10443530330572472</v>
      </c>
      <c r="N673" s="6">
        <v>-311.61895501550066</v>
      </c>
      <c r="O673" s="6">
        <v>531.48622878140225</v>
      </c>
      <c r="P673" s="68">
        <v>0.87680272990205399</v>
      </c>
      <c r="Q673" s="7">
        <v>0.15828163628098546</v>
      </c>
      <c r="R673" s="67">
        <v>-0.27322835044681637</v>
      </c>
      <c r="S673" s="7">
        <v>-0.46861157323440705</v>
      </c>
      <c r="T673" s="171">
        <f t="shared" si="20"/>
        <v>-0.19318851789830782</v>
      </c>
      <c r="U673" s="171">
        <f t="shared" si="21"/>
        <v>-0.33228093278947451</v>
      </c>
    </row>
    <row r="674" spans="1:21" s="42" customFormat="1">
      <c r="A674" s="5">
        <v>1205</v>
      </c>
      <c r="B674" s="28">
        <v>5.8329999999999904</v>
      </c>
      <c r="C674" s="5" t="s">
        <v>120</v>
      </c>
      <c r="D674" s="5">
        <v>120</v>
      </c>
      <c r="E674" s="5">
        <v>3</v>
      </c>
      <c r="F674" s="24">
        <v>50.591999999999999</v>
      </c>
      <c r="G674" s="24">
        <v>-144.87</v>
      </c>
      <c r="H674" s="5">
        <v>13</v>
      </c>
      <c r="I674" s="25">
        <v>43347.646527777775</v>
      </c>
      <c r="J674" s="26">
        <v>43347.646527777775</v>
      </c>
      <c r="K674" s="7">
        <v>2.2209504000000004</v>
      </c>
      <c r="L674" s="7">
        <v>1.4254254435855249</v>
      </c>
      <c r="M674" s="7">
        <v>6.7276987334885824E-2</v>
      </c>
      <c r="N674" s="6">
        <v>299.36417136382164</v>
      </c>
      <c r="O674" s="6">
        <v>25.31701790492809</v>
      </c>
      <c r="P674" s="7">
        <v>5.3045246601367619</v>
      </c>
      <c r="Q674" s="7">
        <v>1.8998610814664527</v>
      </c>
      <c r="R674" s="67">
        <v>1.5879846293607993</v>
      </c>
      <c r="S674" s="7">
        <v>0.584390302908112</v>
      </c>
      <c r="T674" s="171">
        <f t="shared" si="20"/>
        <v>1.1227985547247266</v>
      </c>
      <c r="U674" s="171">
        <f t="shared" si="21"/>
        <v>0.43808171368099208</v>
      </c>
    </row>
    <row r="675" spans="1:21" s="42" customFormat="1">
      <c r="A675" s="5">
        <v>1206</v>
      </c>
      <c r="B675" s="28">
        <v>20.335999999999999</v>
      </c>
      <c r="C675" s="5" t="s">
        <v>120</v>
      </c>
      <c r="D675" s="5">
        <v>120</v>
      </c>
      <c r="E675" s="5">
        <v>3</v>
      </c>
      <c r="F675" s="24">
        <v>50.591999999999999</v>
      </c>
      <c r="G675" s="24">
        <v>-144.87</v>
      </c>
      <c r="H675" s="5">
        <v>12</v>
      </c>
      <c r="I675" s="25">
        <v>43347.646527777775</v>
      </c>
      <c r="J675" s="26">
        <v>43347.646527777775</v>
      </c>
      <c r="K675" s="7">
        <v>2.2221294000000005</v>
      </c>
      <c r="L675" s="7">
        <v>1.6463842662479349</v>
      </c>
      <c r="M675" s="7">
        <v>6.6673238587182368E-2</v>
      </c>
      <c r="N675" s="6">
        <v>545.19890305229205</v>
      </c>
      <c r="O675" s="6">
        <v>38.097330990728267</v>
      </c>
      <c r="P675" s="7">
        <v>5.3045246601367619</v>
      </c>
      <c r="Q675" s="7">
        <v>1.8998610814664527</v>
      </c>
      <c r="R675" s="67">
        <v>2.8920210259203949</v>
      </c>
      <c r="S675" s="7">
        <v>1.055332082547993</v>
      </c>
      <c r="T675" s="171">
        <f t="shared" si="20"/>
        <v>2.0448290040716555</v>
      </c>
      <c r="U675" s="171">
        <f t="shared" si="21"/>
        <v>0.79186161380598064</v>
      </c>
    </row>
    <row r="676" spans="1:21" s="42" customFormat="1">
      <c r="A676" s="5">
        <v>1207</v>
      </c>
      <c r="B676" s="28">
        <v>35.525999999999897</v>
      </c>
      <c r="C676" s="5" t="s">
        <v>120</v>
      </c>
      <c r="D676" s="5">
        <v>120</v>
      </c>
      <c r="E676" s="5">
        <v>3</v>
      </c>
      <c r="F676" s="24">
        <v>50.591999999999999</v>
      </c>
      <c r="G676" s="24">
        <v>-144.87</v>
      </c>
      <c r="H676" s="5">
        <v>11</v>
      </c>
      <c r="I676" s="25">
        <v>43347.646527777775</v>
      </c>
      <c r="J676" s="26">
        <v>43347.646527777775</v>
      </c>
      <c r="K676" s="7">
        <v>2.2345403400000001</v>
      </c>
      <c r="L676" s="7">
        <v>1.5899468559141217</v>
      </c>
      <c r="M676" s="7">
        <v>6.8478024687082945E-2</v>
      </c>
      <c r="N676" s="6">
        <v>825.61238417083109</v>
      </c>
      <c r="O676" s="6">
        <v>48.361399658638355</v>
      </c>
      <c r="P676" s="7">
        <v>5.3045246601367619</v>
      </c>
      <c r="Q676" s="7">
        <v>1.8998610814664527</v>
      </c>
      <c r="R676" s="67">
        <v>4.3794812515484791</v>
      </c>
      <c r="S676" s="7">
        <v>1.5893883317332045</v>
      </c>
      <c r="T676" s="171">
        <f t="shared" si="20"/>
        <v>3.0965508914667432</v>
      </c>
      <c r="U676" s="171">
        <f t="shared" si="21"/>
        <v>1.1933234589963202</v>
      </c>
    </row>
    <row r="677" spans="1:21" s="42" customFormat="1">
      <c r="A677" s="5">
        <v>1208</v>
      </c>
      <c r="B677" s="28">
        <v>50.588000000000001</v>
      </c>
      <c r="C677" s="5" t="s">
        <v>120</v>
      </c>
      <c r="D677" s="5">
        <v>120</v>
      </c>
      <c r="E677" s="5">
        <v>3</v>
      </c>
      <c r="F677" s="24">
        <v>50.591999999999999</v>
      </c>
      <c r="G677" s="24">
        <v>-144.87</v>
      </c>
      <c r="H677" s="5">
        <v>10</v>
      </c>
      <c r="I677" s="25">
        <v>43347.646527777775</v>
      </c>
      <c r="J677" s="26">
        <v>43347.646527777775</v>
      </c>
      <c r="K677" s="7">
        <v>2.2378729800000001</v>
      </c>
      <c r="L677" s="7">
        <v>2.0122696181043622</v>
      </c>
      <c r="M677" s="7">
        <v>8.3055667778758391E-2</v>
      </c>
      <c r="N677" s="6">
        <v>923.58002140873293</v>
      </c>
      <c r="O677" s="6">
        <v>60.329357936639276</v>
      </c>
      <c r="P677" s="67">
        <v>5.2605643999999989</v>
      </c>
      <c r="Q677" s="7">
        <v>1.8720849859591149</v>
      </c>
      <c r="R677" s="67">
        <v>4.8585521811740175</v>
      </c>
      <c r="S677" s="7">
        <v>1.757905755740311</v>
      </c>
      <c r="T677" s="171">
        <f t="shared" si="20"/>
        <v>3.4352822226451205</v>
      </c>
      <c r="U677" s="171">
        <f t="shared" si="21"/>
        <v>1.3203021764770093</v>
      </c>
    </row>
    <row r="678" spans="1:21" s="42" customFormat="1">
      <c r="A678" s="5">
        <v>1209</v>
      </c>
      <c r="B678" s="28">
        <v>65.723999999999904</v>
      </c>
      <c r="C678" s="5" t="s">
        <v>120</v>
      </c>
      <c r="D678" s="5">
        <v>120</v>
      </c>
      <c r="E678" s="5">
        <v>3</v>
      </c>
      <c r="F678" s="24">
        <v>50.591999999999999</v>
      </c>
      <c r="G678" s="24">
        <v>-144.87</v>
      </c>
      <c r="H678" s="5">
        <v>9</v>
      </c>
      <c r="I678" s="25">
        <v>43347.646527777775</v>
      </c>
      <c r="J678" s="26">
        <v>43347.646527777775</v>
      </c>
      <c r="K678" s="7">
        <v>2.24118204</v>
      </c>
      <c r="L678" s="7">
        <v>2.0893491525386909</v>
      </c>
      <c r="M678" s="7">
        <v>8.2048409787912155E-2</v>
      </c>
      <c r="N678" s="6">
        <v>989.39076574242222</v>
      </c>
      <c r="O678" s="6">
        <v>70.031238019565976</v>
      </c>
      <c r="P678" s="67">
        <v>4.1450412000000059</v>
      </c>
      <c r="Q678" s="7">
        <v>1.2298539684212242</v>
      </c>
      <c r="R678" s="67">
        <v>4.1010654869018941</v>
      </c>
      <c r="S678" s="7">
        <v>1.2509520704176018</v>
      </c>
      <c r="T678" s="171">
        <f t="shared" si="20"/>
        <v>2.8996945665515605</v>
      </c>
      <c r="U678" s="171">
        <f t="shared" si="21"/>
        <v>0.96104896678377261</v>
      </c>
    </row>
    <row r="679" spans="1:21" s="42" customFormat="1">
      <c r="A679" s="5">
        <v>1210</v>
      </c>
      <c r="B679" s="28">
        <v>80.73</v>
      </c>
      <c r="C679" s="5" t="s">
        <v>120</v>
      </c>
      <c r="D679" s="5">
        <v>120</v>
      </c>
      <c r="E679" s="5">
        <v>3</v>
      </c>
      <c r="F679" s="24">
        <v>50.591999999999999</v>
      </c>
      <c r="G679" s="24">
        <v>-144.87</v>
      </c>
      <c r="H679" s="5">
        <v>8</v>
      </c>
      <c r="I679" s="25">
        <v>43347.646527777775</v>
      </c>
      <c r="J679" s="26">
        <v>43347.646527777775</v>
      </c>
      <c r="K679" s="7">
        <v>2.2460002200000004</v>
      </c>
      <c r="L679" s="7">
        <v>1.9189978152987388</v>
      </c>
      <c r="M679" s="7">
        <v>7.189278479716911E-2</v>
      </c>
      <c r="N679" s="6">
        <v>1127.4266231267022</v>
      </c>
      <c r="O679" s="6">
        <v>76.324041386014329</v>
      </c>
      <c r="P679" s="67">
        <v>3.0390989999999984</v>
      </c>
      <c r="Q679" s="7">
        <v>0.7234466673665696</v>
      </c>
      <c r="R679" s="67">
        <v>3.426361122917736</v>
      </c>
      <c r="S679" s="7">
        <v>0.84797463301728326</v>
      </c>
      <c r="T679" s="171">
        <f t="shared" si="20"/>
        <v>2.4226388880889718</v>
      </c>
      <c r="U679" s="171">
        <f t="shared" si="21"/>
        <v>0.67683056266383668</v>
      </c>
    </row>
    <row r="680" spans="1:21" s="42" customFormat="1">
      <c r="A680" s="5">
        <v>1211</v>
      </c>
      <c r="B680" s="28">
        <v>95.078999999999994</v>
      </c>
      <c r="C680" s="5" t="s">
        <v>120</v>
      </c>
      <c r="D680" s="5">
        <v>120</v>
      </c>
      <c r="E680" s="5">
        <v>3</v>
      </c>
      <c r="F680" s="24">
        <v>50.591999999999999</v>
      </c>
      <c r="G680" s="24">
        <v>-144.87</v>
      </c>
      <c r="H680" s="5">
        <v>7</v>
      </c>
      <c r="I680" s="25">
        <v>43347.646527777775</v>
      </c>
      <c r="J680" s="26">
        <v>43347.646527777775</v>
      </c>
      <c r="K680" s="7">
        <v>2.2587570000000001</v>
      </c>
      <c r="L680" s="7">
        <v>2.1874500818824738</v>
      </c>
      <c r="M680" s="7">
        <v>8.8730997803385558E-2</v>
      </c>
      <c r="N680" s="6">
        <v>1158.3412112314991</v>
      </c>
      <c r="O680" s="6">
        <v>85.470449913124099</v>
      </c>
      <c r="P680" s="67">
        <v>1.9815776999999999</v>
      </c>
      <c r="Q680" s="7">
        <v>0.3605603264993853</v>
      </c>
      <c r="R680" s="67">
        <v>2.2953431131673279</v>
      </c>
      <c r="S680" s="7">
        <v>0.45068620303731649</v>
      </c>
      <c r="T680" s="171">
        <f t="shared" si="20"/>
        <v>1.6229426169565735</v>
      </c>
      <c r="U680" s="171">
        <f t="shared" si="21"/>
        <v>0.38184096693892927</v>
      </c>
    </row>
    <row r="681" spans="1:21" s="42" customFormat="1">
      <c r="A681" s="5">
        <v>1212</v>
      </c>
      <c r="B681" s="28">
        <v>110.878999999999</v>
      </c>
      <c r="C681" s="5" t="s">
        <v>120</v>
      </c>
      <c r="D681" s="5">
        <v>120</v>
      </c>
      <c r="E681" s="5">
        <v>3</v>
      </c>
      <c r="F681" s="24">
        <v>50.591999999999999</v>
      </c>
      <c r="G681" s="24">
        <v>-144.87</v>
      </c>
      <c r="H681" s="5">
        <v>6</v>
      </c>
      <c r="I681" s="25">
        <v>43347.646527777775</v>
      </c>
      <c r="J681" s="26">
        <v>43347.646527777775</v>
      </c>
      <c r="K681" s="7">
        <v>2.2843255800000004</v>
      </c>
      <c r="L681" s="7">
        <v>2.5692165810229652</v>
      </c>
      <c r="M681" s="7">
        <v>9.4486525332759752E-2</v>
      </c>
      <c r="N681" s="6">
        <v>1032.673938888767</v>
      </c>
      <c r="O681" s="6">
        <v>95.091036454682168</v>
      </c>
      <c r="P681" s="67">
        <v>1.5066221000000102</v>
      </c>
      <c r="Q681" s="7">
        <v>0.27619918080433131</v>
      </c>
      <c r="R681" s="67">
        <v>1.5558493784238763</v>
      </c>
      <c r="S681" s="7">
        <v>0.31918298379022381</v>
      </c>
      <c r="T681" s="171">
        <f t="shared" si="20"/>
        <v>1.1000770417827421</v>
      </c>
      <c r="U681" s="171">
        <f t="shared" si="21"/>
        <v>0.26695703581332958</v>
      </c>
    </row>
    <row r="682" spans="1:21" s="42" customFormat="1">
      <c r="A682" s="5">
        <v>1213</v>
      </c>
      <c r="B682" s="28">
        <v>125.753999999999</v>
      </c>
      <c r="C682" s="5" t="s">
        <v>120</v>
      </c>
      <c r="D682" s="5">
        <v>120</v>
      </c>
      <c r="E682" s="5">
        <v>3</v>
      </c>
      <c r="F682" s="24">
        <v>50.591999999999999</v>
      </c>
      <c r="G682" s="24">
        <v>-144.87</v>
      </c>
      <c r="H682" s="5">
        <v>5</v>
      </c>
      <c r="I682" s="25">
        <v>43347.646527777775</v>
      </c>
      <c r="J682" s="26">
        <v>43347.646527777775</v>
      </c>
      <c r="K682" s="7">
        <v>2.3101849799999998</v>
      </c>
      <c r="L682" s="7">
        <v>2.5292791205568665</v>
      </c>
      <c r="M682" s="7">
        <v>9.6007995226300796E-2</v>
      </c>
      <c r="N682" s="6">
        <v>922.54563376484703</v>
      </c>
      <c r="O682" s="6">
        <v>106.63586203408894</v>
      </c>
      <c r="P682" s="67">
        <v>1.3563846000000102</v>
      </c>
      <c r="Q682" s="7">
        <v>0.28693141312659437</v>
      </c>
      <c r="R682" s="67">
        <v>1.251326690435888</v>
      </c>
      <c r="S682" s="7">
        <v>0.30164627724170218</v>
      </c>
      <c r="T682" s="171">
        <f t="shared" si="20"/>
        <v>0.88476158618451517</v>
      </c>
      <c r="U682" s="171">
        <f t="shared" si="21"/>
        <v>0.24216161915008547</v>
      </c>
    </row>
    <row r="683" spans="1:21" s="42" customFormat="1">
      <c r="A683" s="5">
        <v>1214</v>
      </c>
      <c r="B683" s="28">
        <v>145.834</v>
      </c>
      <c r="C683" s="5" t="s">
        <v>120</v>
      </c>
      <c r="D683" s="5">
        <v>120</v>
      </c>
      <c r="E683" s="5">
        <v>3</v>
      </c>
      <c r="F683" s="24">
        <v>50.591999999999999</v>
      </c>
      <c r="G683" s="24">
        <v>-144.87</v>
      </c>
      <c r="H683" s="5">
        <v>4</v>
      </c>
      <c r="I683" s="25">
        <v>43347.646527777775</v>
      </c>
      <c r="J683" s="26">
        <v>43347.646527777775</v>
      </c>
      <c r="K683" s="7">
        <v>2.3293005</v>
      </c>
      <c r="L683" s="7">
        <v>2.3570466460925061</v>
      </c>
      <c r="M683" s="7">
        <v>8.5399137804072933E-2</v>
      </c>
      <c r="N683" s="6">
        <v>894.85894877326268</v>
      </c>
      <c r="O683" s="6">
        <v>136.50272842488226</v>
      </c>
      <c r="P683" s="67">
        <v>1.1535766000000001</v>
      </c>
      <c r="Q683" s="7">
        <v>0.28797090043830681</v>
      </c>
      <c r="R683" s="67">
        <v>1.0322883436054346</v>
      </c>
      <c r="S683" s="7">
        <v>0.30199587496542468</v>
      </c>
      <c r="T683" s="171">
        <f t="shared" si="20"/>
        <v>0.72988858886241814</v>
      </c>
      <c r="U683" s="171">
        <f t="shared" si="21"/>
        <v>0.23355080772447184</v>
      </c>
    </row>
    <row r="684" spans="1:21" s="42" customFormat="1">
      <c r="A684" s="5">
        <v>1215</v>
      </c>
      <c r="B684" s="28">
        <v>195.14599999999999</v>
      </c>
      <c r="C684" s="5" t="s">
        <v>120</v>
      </c>
      <c r="D684" s="5">
        <v>120</v>
      </c>
      <c r="E684" s="5">
        <v>3</v>
      </c>
      <c r="F684" s="24">
        <v>50.591999999999999</v>
      </c>
      <c r="G684" s="24">
        <v>-144.87</v>
      </c>
      <c r="H684" s="5">
        <v>3</v>
      </c>
      <c r="I684" s="25">
        <v>43347.646527777775</v>
      </c>
      <c r="J684" s="26">
        <v>43347.646527777775</v>
      </c>
      <c r="K684" s="7">
        <v>2.3368461000000003</v>
      </c>
      <c r="L684" s="7">
        <v>2.2900585354248744</v>
      </c>
      <c r="M684" s="7">
        <v>8.4498527429752779E-2</v>
      </c>
      <c r="N684" s="6">
        <v>1019.6690190380153</v>
      </c>
      <c r="O684" s="6">
        <v>263.51760483767134</v>
      </c>
      <c r="P684" s="67">
        <v>1.0354372000000001</v>
      </c>
      <c r="Q684" s="7">
        <v>8.0607365400161737E-2</v>
      </c>
      <c r="R684" s="67">
        <v>1.0558032339994692</v>
      </c>
      <c r="S684" s="7">
        <v>0.284966701317239</v>
      </c>
      <c r="T684" s="171">
        <f t="shared" si="20"/>
        <v>0.74651499976134472</v>
      </c>
      <c r="U684" s="171">
        <f t="shared" si="21"/>
        <v>0.22352041031649078</v>
      </c>
    </row>
    <row r="685" spans="1:21" s="42" customFormat="1">
      <c r="A685" s="5">
        <v>1216</v>
      </c>
      <c r="B685" s="28">
        <v>331.34100000000001</v>
      </c>
      <c r="C685" s="5" t="s">
        <v>120</v>
      </c>
      <c r="D685" s="5">
        <v>120</v>
      </c>
      <c r="E685" s="5">
        <v>3</v>
      </c>
      <c r="F685" s="24">
        <v>50.591999999999999</v>
      </c>
      <c r="G685" s="24">
        <v>-144.87</v>
      </c>
      <c r="H685" s="5">
        <v>2</v>
      </c>
      <c r="I685" s="25">
        <v>43347.646527777775</v>
      </c>
      <c r="J685" s="26">
        <v>43347.646527777775</v>
      </c>
      <c r="K685" s="7">
        <v>2.3513556599999998</v>
      </c>
      <c r="L685" s="7">
        <v>2.4493581824595694</v>
      </c>
      <c r="M685" s="7">
        <v>8.8872965746469065E-2</v>
      </c>
      <c r="N685" s="6">
        <v>589.84257433513687</v>
      </c>
      <c r="O685" s="6">
        <v>470.50417002864106</v>
      </c>
      <c r="P685" s="67">
        <v>0.92946360000000006</v>
      </c>
      <c r="Q685" s="7">
        <v>0.14896723268919962</v>
      </c>
      <c r="R685" s="67">
        <v>0.54823720257480402</v>
      </c>
      <c r="S685" s="7">
        <v>0.44605646341269956</v>
      </c>
      <c r="T685" s="171">
        <f t="shared" si="20"/>
        <v>0.38763595523282501</v>
      </c>
      <c r="U685" s="171">
        <f t="shared" si="21"/>
        <v>0.3193657604506418</v>
      </c>
    </row>
    <row r="686" spans="1:21" s="42" customFormat="1">
      <c r="A686" s="5">
        <v>1217</v>
      </c>
      <c r="B686" s="28">
        <v>500.14400000000001</v>
      </c>
      <c r="C686" s="5" t="s">
        <v>120</v>
      </c>
      <c r="D686" s="5">
        <v>120</v>
      </c>
      <c r="E686" s="5">
        <v>3</v>
      </c>
      <c r="F686" s="24">
        <v>50.591999999999999</v>
      </c>
      <c r="G686" s="24">
        <v>-144.87</v>
      </c>
      <c r="H686" s="5">
        <v>1</v>
      </c>
      <c r="I686" s="25">
        <v>43347.646527777775</v>
      </c>
      <c r="J686" s="26">
        <v>43347.646527777775</v>
      </c>
      <c r="K686" s="7">
        <v>2.3653857600000001</v>
      </c>
      <c r="L686" s="7">
        <v>2.7546227666441778</v>
      </c>
      <c r="M686" s="7">
        <v>9.7061752110068109E-2</v>
      </c>
      <c r="N686" s="6">
        <v>-354.98633000503492</v>
      </c>
      <c r="O686" s="6">
        <v>526.19822572652765</v>
      </c>
      <c r="P686" s="68">
        <v>0.87680272990205399</v>
      </c>
      <c r="Q686" s="7">
        <v>0.15828163628098546</v>
      </c>
      <c r="R686" s="67">
        <v>-0.311252983226326</v>
      </c>
      <c r="S686" s="7">
        <v>-0.46478084170716449</v>
      </c>
      <c r="T686" s="171">
        <f t="shared" si="20"/>
        <v>-0.22007417027767448</v>
      </c>
      <c r="U686" s="171">
        <f t="shared" si="21"/>
        <v>-0.32986325137624561</v>
      </c>
    </row>
    <row r="687" spans="1:21" s="42" customFormat="1">
      <c r="A687" s="5">
        <v>1218</v>
      </c>
      <c r="B687" s="28">
        <v>6.1679999999999904</v>
      </c>
      <c r="C687" s="5" t="s">
        <v>137</v>
      </c>
      <c r="D687" s="5">
        <v>121</v>
      </c>
      <c r="E687" s="5">
        <v>3</v>
      </c>
      <c r="F687" s="24">
        <v>50.542000000000002</v>
      </c>
      <c r="G687" s="24">
        <v>-145.02799999999999</v>
      </c>
      <c r="H687" s="5">
        <v>13</v>
      </c>
      <c r="I687" s="25">
        <v>43347.76458333333</v>
      </c>
      <c r="J687" s="26">
        <v>43347.76458333333</v>
      </c>
      <c r="K687" s="7">
        <v>2.2214691600000003</v>
      </c>
      <c r="L687" s="7">
        <v>1.4535724238552852</v>
      </c>
      <c r="M687" s="7">
        <v>6.6525744872934278E-2</v>
      </c>
      <c r="N687" s="6">
        <v>291.80527496780013</v>
      </c>
      <c r="O687" s="6">
        <v>25.280174223094868</v>
      </c>
      <c r="P687" s="7">
        <v>5.3045246601367619</v>
      </c>
      <c r="Q687" s="7">
        <v>1.8998610814664527</v>
      </c>
      <c r="R687" s="67">
        <v>1.5478882770246845</v>
      </c>
      <c r="S687" s="7">
        <v>0.57037735375792775</v>
      </c>
      <c r="T687" s="171">
        <f t="shared" si="20"/>
        <v>1.0944480747387553</v>
      </c>
      <c r="U687" s="171">
        <f t="shared" si="21"/>
        <v>0.42751563594688052</v>
      </c>
    </row>
    <row r="688" spans="1:21" s="42" customFormat="1">
      <c r="A688" s="5">
        <v>1219</v>
      </c>
      <c r="B688" s="28">
        <v>20.257999999999999</v>
      </c>
      <c r="C688" s="5" t="s">
        <v>137</v>
      </c>
      <c r="D688" s="5">
        <v>121</v>
      </c>
      <c r="E688" s="5">
        <v>3</v>
      </c>
      <c r="F688" s="24">
        <v>50.542000000000002</v>
      </c>
      <c r="G688" s="24">
        <v>-145.02799999999999</v>
      </c>
      <c r="H688" s="5">
        <v>12</v>
      </c>
      <c r="I688" s="25">
        <v>43347.76458333333</v>
      </c>
      <c r="J688" s="26">
        <v>43347.76458333333</v>
      </c>
      <c r="K688" s="7">
        <v>2.2225774200000004</v>
      </c>
      <c r="L688" s="7">
        <v>1.3503374685198768</v>
      </c>
      <c r="M688" s="7">
        <v>7.4093827208908641E-2</v>
      </c>
      <c r="N688" s="6">
        <v>659.34725111623345</v>
      </c>
      <c r="O688" s="6">
        <v>40.172949066467709</v>
      </c>
      <c r="P688" s="7">
        <v>5.3045246601367619</v>
      </c>
      <c r="Q688" s="7">
        <v>1.8998610814664527</v>
      </c>
      <c r="R688" s="67">
        <v>3.4975237531394465</v>
      </c>
      <c r="S688" s="7">
        <v>1.2706645901911011</v>
      </c>
      <c r="T688" s="171">
        <f t="shared" si="20"/>
        <v>2.4729550541815297</v>
      </c>
      <c r="U688" s="171">
        <f t="shared" si="21"/>
        <v>0.95390859403982975</v>
      </c>
    </row>
    <row r="689" spans="1:21" s="42" customFormat="1">
      <c r="A689" s="5">
        <v>1220</v>
      </c>
      <c r="B689" s="28">
        <v>35.470999999999997</v>
      </c>
      <c r="C689" s="5" t="s">
        <v>137</v>
      </c>
      <c r="D689" s="5">
        <v>121</v>
      </c>
      <c r="E689" s="5">
        <v>3</v>
      </c>
      <c r="F689" s="24">
        <v>50.542000000000002</v>
      </c>
      <c r="G689" s="24">
        <v>-145.02799999999999</v>
      </c>
      <c r="H689" s="5">
        <v>11</v>
      </c>
      <c r="I689" s="25">
        <v>43347.76458333333</v>
      </c>
      <c r="J689" s="26">
        <v>43347.76458333333</v>
      </c>
      <c r="K689" s="7">
        <v>2.2338722400000006</v>
      </c>
      <c r="L689" s="7">
        <v>1.5811543818482034</v>
      </c>
      <c r="M689" s="7">
        <v>7.32722792528121E-2</v>
      </c>
      <c r="N689" s="6">
        <v>939.69077219328949</v>
      </c>
      <c r="O689" s="6">
        <v>51.03198177801049</v>
      </c>
      <c r="P689" s="7">
        <v>5.3045246601367619</v>
      </c>
      <c r="Q689" s="7">
        <v>1.8998610814664527</v>
      </c>
      <c r="R689" s="67">
        <v>4.9846128740022602</v>
      </c>
      <c r="S689" s="7">
        <v>1.8056883085161095</v>
      </c>
      <c r="T689" s="171">
        <f t="shared" si="20"/>
        <v>3.5244145486753302</v>
      </c>
      <c r="U689" s="171">
        <f t="shared" si="21"/>
        <v>1.3560045605459976</v>
      </c>
    </row>
    <row r="690" spans="1:21" s="42" customFormat="1">
      <c r="A690" s="5">
        <v>1221</v>
      </c>
      <c r="B690" s="28">
        <v>50.125999999999998</v>
      </c>
      <c r="C690" s="5" t="s">
        <v>137</v>
      </c>
      <c r="D690" s="5">
        <v>121</v>
      </c>
      <c r="E690" s="5">
        <v>3</v>
      </c>
      <c r="F690" s="24">
        <v>50.542000000000002</v>
      </c>
      <c r="G690" s="24">
        <v>-145.02799999999999</v>
      </c>
      <c r="H690" s="5">
        <v>10</v>
      </c>
      <c r="I690" s="25">
        <v>43347.76458333333</v>
      </c>
      <c r="J690" s="26">
        <v>43347.76458333333</v>
      </c>
      <c r="K690" s="7">
        <v>2.2395707400000004</v>
      </c>
      <c r="L690" s="7">
        <v>1.5045579123211246</v>
      </c>
      <c r="M690" s="7">
        <v>6.7270316944343225E-2</v>
      </c>
      <c r="N690" s="6">
        <v>1250.3490595010471</v>
      </c>
      <c r="O690" s="6">
        <v>58.417951079813776</v>
      </c>
      <c r="P690" s="7">
        <v>5.3045246601367619</v>
      </c>
      <c r="Q690" s="7">
        <v>1.8998610814664527</v>
      </c>
      <c r="R690" s="67">
        <v>6.6325074199021117</v>
      </c>
      <c r="S690" s="7">
        <v>2.3956159382356574</v>
      </c>
      <c r="T690" s="171">
        <f t="shared" si="20"/>
        <v>4.6895729389173582</v>
      </c>
      <c r="U690" s="171">
        <f t="shared" si="21"/>
        <v>1.7996179051868293</v>
      </c>
    </row>
    <row r="691" spans="1:21" s="42" customFormat="1">
      <c r="A691" s="5">
        <v>1222</v>
      </c>
      <c r="B691" s="28">
        <v>64.863</v>
      </c>
      <c r="C691" s="5" t="s">
        <v>137</v>
      </c>
      <c r="D691" s="5">
        <v>121</v>
      </c>
      <c r="E691" s="5">
        <v>3</v>
      </c>
      <c r="F691" s="24">
        <v>50.542000000000002</v>
      </c>
      <c r="G691" s="24">
        <v>-145.02799999999999</v>
      </c>
      <c r="H691" s="5">
        <v>9</v>
      </c>
      <c r="I691" s="25">
        <v>43347.76458333333</v>
      </c>
      <c r="J691" s="26">
        <v>43347.76458333333</v>
      </c>
      <c r="K691" s="7">
        <v>2.2434693000000001</v>
      </c>
      <c r="L691" s="7">
        <v>1.8528240028859229</v>
      </c>
      <c r="M691" s="7">
        <v>8.2769623657893615E-2</v>
      </c>
      <c r="N691" s="6">
        <v>1425.350394392553</v>
      </c>
      <c r="O691" s="6">
        <v>69.191908447895329</v>
      </c>
      <c r="P691" s="67">
        <v>4.2084968999999992</v>
      </c>
      <c r="Q691" s="7">
        <v>1.2628459079118475</v>
      </c>
      <c r="R691" s="67">
        <v>5.9985827162148349</v>
      </c>
      <c r="S691" s="7">
        <v>1.8233996798826546</v>
      </c>
      <c r="T691" s="171">
        <f t="shared" si="20"/>
        <v>4.241350879368281</v>
      </c>
      <c r="U691" s="171">
        <f t="shared" si="21"/>
        <v>1.401581940248285</v>
      </c>
    </row>
    <row r="692" spans="1:21" s="42" customFormat="1">
      <c r="A692" s="5">
        <v>1223</v>
      </c>
      <c r="B692" s="28">
        <v>81.278999999999996</v>
      </c>
      <c r="C692" s="5" t="s">
        <v>137</v>
      </c>
      <c r="D692" s="5">
        <v>121</v>
      </c>
      <c r="E692" s="5">
        <v>3</v>
      </c>
      <c r="F692" s="24">
        <v>50.542000000000002</v>
      </c>
      <c r="G692" s="24">
        <v>-145.02799999999999</v>
      </c>
      <c r="H692" s="5">
        <v>8</v>
      </c>
      <c r="I692" s="25">
        <v>43347.76458333333</v>
      </c>
      <c r="J692" s="26">
        <v>43347.76458333333</v>
      </c>
      <c r="K692" s="7">
        <v>2.2457251200000004</v>
      </c>
      <c r="L692" s="7">
        <v>2.0064207547721638</v>
      </c>
      <c r="M692" s="7">
        <v>8.6499420339921446E-2</v>
      </c>
      <c r="N692" s="6">
        <v>1529.7666280446297</v>
      </c>
      <c r="O692" s="6">
        <v>78.81634401984509</v>
      </c>
      <c r="P692" s="67">
        <v>2.9986376999999997</v>
      </c>
      <c r="Q692" s="7">
        <v>0.70737979990006528</v>
      </c>
      <c r="R692" s="67">
        <v>4.5872158830565031</v>
      </c>
      <c r="S692" s="7">
        <v>1.1076344544639571</v>
      </c>
      <c r="T692" s="171">
        <f t="shared" si="20"/>
        <v>3.2434314970538192</v>
      </c>
      <c r="U692" s="171">
        <f t="shared" si="21"/>
        <v>0.88887872159476278</v>
      </c>
    </row>
    <row r="693" spans="1:21" s="42" customFormat="1">
      <c r="A693" s="5">
        <v>1224</v>
      </c>
      <c r="B693" s="28">
        <v>95.206000000000003</v>
      </c>
      <c r="C693" s="5" t="s">
        <v>137</v>
      </c>
      <c r="D693" s="5">
        <v>121</v>
      </c>
      <c r="E693" s="5">
        <v>3</v>
      </c>
      <c r="F693" s="24">
        <v>50.542000000000002</v>
      </c>
      <c r="G693" s="24">
        <v>-145.02799999999999</v>
      </c>
      <c r="H693" s="5">
        <v>7</v>
      </c>
      <c r="I693" s="25">
        <v>43347.76458333333</v>
      </c>
      <c r="J693" s="26">
        <v>43347.76458333333</v>
      </c>
      <c r="K693" s="7">
        <v>2.2533178800000004</v>
      </c>
      <c r="L693" s="7">
        <v>2.052134109506742</v>
      </c>
      <c r="M693" s="7">
        <v>9.0755143677027181E-2</v>
      </c>
      <c r="N693" s="6">
        <v>1611.6854565438584</v>
      </c>
      <c r="O693" s="6">
        <v>87.049513913965242</v>
      </c>
      <c r="P693" s="67">
        <v>1.9722177999999992</v>
      </c>
      <c r="Q693" s="7">
        <v>0.35787814104467858</v>
      </c>
      <c r="R693" s="67">
        <v>3.1785947453969228</v>
      </c>
      <c r="S693" s="7">
        <v>0.60179520308618428</v>
      </c>
      <c r="T693" s="171">
        <f t="shared" si="20"/>
        <v>2.2474534829873312</v>
      </c>
      <c r="U693" s="171">
        <f t="shared" si="21"/>
        <v>0.5156794100700286</v>
      </c>
    </row>
    <row r="694" spans="1:21" s="42" customFormat="1">
      <c r="A694" s="5">
        <v>1225</v>
      </c>
      <c r="B694" s="28">
        <v>109.595</v>
      </c>
      <c r="C694" s="5" t="s">
        <v>137</v>
      </c>
      <c r="D694" s="5">
        <v>121</v>
      </c>
      <c r="E694" s="5">
        <v>3</v>
      </c>
      <c r="F694" s="24">
        <v>50.542000000000002</v>
      </c>
      <c r="G694" s="24">
        <v>-145.02799999999999</v>
      </c>
      <c r="H694" s="5">
        <v>6</v>
      </c>
      <c r="I694" s="25">
        <v>43347.76458333333</v>
      </c>
      <c r="J694" s="26">
        <v>43347.76458333333</v>
      </c>
      <c r="K694" s="7">
        <v>2.2836653400000002</v>
      </c>
      <c r="L694" s="7">
        <v>2.2687055387613153</v>
      </c>
      <c r="M694" s="7">
        <v>8.6170982841281982E-2</v>
      </c>
      <c r="N694" s="6">
        <v>1618.2516235737951</v>
      </c>
      <c r="O694" s="6">
        <v>94.911216789558225</v>
      </c>
      <c r="P694" s="67">
        <v>1.5195905000000001</v>
      </c>
      <c r="Q694" s="7">
        <v>0.2748752532807075</v>
      </c>
      <c r="R694" s="67">
        <v>2.4590797937923154</v>
      </c>
      <c r="S694" s="7">
        <v>0.46761484632570688</v>
      </c>
      <c r="T694" s="171">
        <f t="shared" si="20"/>
        <v>1.7387140828524124</v>
      </c>
      <c r="U694" s="171">
        <f t="shared" si="21"/>
        <v>0.40014196779296762</v>
      </c>
    </row>
    <row r="695" spans="1:21" s="42" customFormat="1">
      <c r="A695" s="5">
        <v>1226</v>
      </c>
      <c r="B695" s="28">
        <v>125.729</v>
      </c>
      <c r="C695" s="5" t="s">
        <v>137</v>
      </c>
      <c r="D695" s="5">
        <v>121</v>
      </c>
      <c r="E695" s="5">
        <v>3</v>
      </c>
      <c r="F695" s="24">
        <v>50.542000000000002</v>
      </c>
      <c r="G695" s="24">
        <v>-145.02799999999999</v>
      </c>
      <c r="H695" s="5">
        <v>5</v>
      </c>
      <c r="I695" s="25">
        <v>43347.76458333333</v>
      </c>
      <c r="J695" s="26">
        <v>43347.76458333333</v>
      </c>
      <c r="K695" s="7">
        <v>2.3036533200000004</v>
      </c>
      <c r="L695" s="7">
        <v>2.0769663487937322</v>
      </c>
      <c r="M695" s="7">
        <v>8.3059214174469015E-2</v>
      </c>
      <c r="N695" s="6">
        <v>1738.7583811971319</v>
      </c>
      <c r="O695" s="6">
        <v>104.67921564061042</v>
      </c>
      <c r="P695" s="67">
        <v>1.3566371000000002</v>
      </c>
      <c r="Q695" s="7">
        <v>0.28692048879997234</v>
      </c>
      <c r="R695" s="67">
        <v>2.3588641278679718</v>
      </c>
      <c r="S695" s="7">
        <v>0.51870412764745888</v>
      </c>
      <c r="T695" s="171">
        <f t="shared" si="20"/>
        <v>1.66785571131646</v>
      </c>
      <c r="U695" s="171">
        <f t="shared" si="21"/>
        <v>0.42573400811306761</v>
      </c>
    </row>
    <row r="696" spans="1:21" s="42" customFormat="1">
      <c r="A696" s="5">
        <v>1227</v>
      </c>
      <c r="B696" s="28">
        <v>146.56299999999999</v>
      </c>
      <c r="C696" s="5" t="s">
        <v>137</v>
      </c>
      <c r="D696" s="5">
        <v>121</v>
      </c>
      <c r="E696" s="5">
        <v>3</v>
      </c>
      <c r="F696" s="24">
        <v>50.542000000000002</v>
      </c>
      <c r="G696" s="24">
        <v>-145.02799999999999</v>
      </c>
      <c r="H696" s="5">
        <v>4</v>
      </c>
      <c r="I696" s="25">
        <v>43347.76458333333</v>
      </c>
      <c r="J696" s="26">
        <v>43347.76458333333</v>
      </c>
      <c r="K696" s="7">
        <v>2.3253862200000004</v>
      </c>
      <c r="L696" s="7">
        <v>2.5899115028593096</v>
      </c>
      <c r="M696" s="7">
        <v>9.138809334534688E-2</v>
      </c>
      <c r="N696" s="6">
        <v>1472.0117472750112</v>
      </c>
      <c r="O696" s="6">
        <v>139.46461540193883</v>
      </c>
      <c r="P696" s="67">
        <v>1.1462137000000003</v>
      </c>
      <c r="Q696" s="7">
        <v>0.28771799072755078</v>
      </c>
      <c r="R696" s="67">
        <v>1.687240031287556</v>
      </c>
      <c r="S696" s="7">
        <v>0.45268843843080619</v>
      </c>
      <c r="T696" s="171">
        <f t="shared" si="20"/>
        <v>1.1929779631216724</v>
      </c>
      <c r="U696" s="171">
        <f t="shared" si="21"/>
        <v>0.35547575844601337</v>
      </c>
    </row>
    <row r="697" spans="1:21" s="42" customFormat="1">
      <c r="A697" s="5">
        <v>1228</v>
      </c>
      <c r="B697" s="28">
        <v>195.85400000000001</v>
      </c>
      <c r="C697" s="5" t="s">
        <v>137</v>
      </c>
      <c r="D697" s="5">
        <v>121</v>
      </c>
      <c r="E697" s="5">
        <v>3</v>
      </c>
      <c r="F697" s="24">
        <v>50.542000000000002</v>
      </c>
      <c r="G697" s="24">
        <v>-145.02799999999999</v>
      </c>
      <c r="H697" s="5">
        <v>3</v>
      </c>
      <c r="I697" s="25">
        <v>43347.76458333333</v>
      </c>
      <c r="J697" s="26">
        <v>43347.76458333333</v>
      </c>
      <c r="K697" s="7">
        <v>2.3367124800000005</v>
      </c>
      <c r="L697" s="7">
        <v>2.1549116397564534</v>
      </c>
      <c r="M697" s="7">
        <v>9.1294089453855559E-2</v>
      </c>
      <c r="N697" s="6">
        <v>1953.9337014564194</v>
      </c>
      <c r="O697" s="6">
        <v>279.31446272708286</v>
      </c>
      <c r="P697" s="67">
        <v>1.0341628</v>
      </c>
      <c r="Q697" s="7">
        <v>7.7592585429761649E-2</v>
      </c>
      <c r="R697" s="67">
        <v>2.0206855477125347</v>
      </c>
      <c r="S697" s="7">
        <v>0.32622687771918096</v>
      </c>
      <c r="T697" s="171">
        <f t="shared" si="20"/>
        <v>1.4287435599663394</v>
      </c>
      <c r="U697" s="171">
        <f t="shared" si="21"/>
        <v>0.29581108616061447</v>
      </c>
    </row>
    <row r="698" spans="1:21" s="42" customFormat="1">
      <c r="A698" s="5">
        <v>1229</v>
      </c>
      <c r="B698" s="28">
        <v>330.904</v>
      </c>
      <c r="C698" s="5" t="s">
        <v>137</v>
      </c>
      <c r="D698" s="5">
        <v>121</v>
      </c>
      <c r="E698" s="5">
        <v>3</v>
      </c>
      <c r="F698" s="24">
        <v>50.542000000000002</v>
      </c>
      <c r="G698" s="24">
        <v>-145.02799999999999</v>
      </c>
      <c r="H698" s="5">
        <v>2</v>
      </c>
      <c r="I698" s="25">
        <v>43347.76458333333</v>
      </c>
      <c r="J698" s="26">
        <v>43347.76458333333</v>
      </c>
      <c r="K698" s="7">
        <v>2.3517722400000003</v>
      </c>
      <c r="L698" s="7">
        <v>2.234716802927935</v>
      </c>
      <c r="M698" s="7">
        <v>7.3413208984744169E-2</v>
      </c>
      <c r="N698" s="6">
        <v>2466.1791615105521</v>
      </c>
      <c r="O698" s="6">
        <v>425.70705414781509</v>
      </c>
      <c r="P698" s="67">
        <v>0.92963840000000009</v>
      </c>
      <c r="Q698" s="7">
        <v>0.14894609179074561</v>
      </c>
      <c r="R698" s="67">
        <v>2.2926548498200114</v>
      </c>
      <c r="S698" s="7">
        <v>0.53995426262705315</v>
      </c>
      <c r="T698" s="171">
        <f t="shared" si="20"/>
        <v>1.6210418566184199</v>
      </c>
      <c r="U698" s="171">
        <f t="shared" si="21"/>
        <v>0.43578572437010038</v>
      </c>
    </row>
    <row r="699" spans="1:21" s="42" customFormat="1">
      <c r="A699" s="5">
        <v>1230</v>
      </c>
      <c r="B699" s="28">
        <v>500.171999999999</v>
      </c>
      <c r="C699" s="5" t="s">
        <v>137</v>
      </c>
      <c r="D699" s="5">
        <v>121</v>
      </c>
      <c r="E699" s="5">
        <v>3</v>
      </c>
      <c r="F699" s="24">
        <v>50.542000000000002</v>
      </c>
      <c r="G699" s="24">
        <v>-145.02799999999999</v>
      </c>
      <c r="H699" s="5">
        <v>1</v>
      </c>
      <c r="I699" s="25">
        <v>43347.76458333333</v>
      </c>
      <c r="J699" s="26">
        <v>43347.76458333333</v>
      </c>
      <c r="K699" s="7">
        <v>2.3662032000000002</v>
      </c>
      <c r="L699" s="7">
        <v>2.2186215631842172</v>
      </c>
      <c r="M699" s="7">
        <v>7.2508774590477929E-2</v>
      </c>
      <c r="N699" s="6">
        <v>2825.4037629482291</v>
      </c>
      <c r="O699" s="6">
        <v>460.84251121669899</v>
      </c>
      <c r="P699" s="68">
        <v>0.87680272990205399</v>
      </c>
      <c r="Q699" s="7">
        <v>0.15828163628098546</v>
      </c>
      <c r="R699" s="67">
        <v>2.477321732428543</v>
      </c>
      <c r="S699" s="7">
        <v>0.60271659202662908</v>
      </c>
      <c r="T699" s="171">
        <f t="shared" si="20"/>
        <v>1.7516122066487227</v>
      </c>
      <c r="U699" s="171">
        <f t="shared" si="21"/>
        <v>0.48286855909624504</v>
      </c>
    </row>
    <row r="700" spans="1:21" s="42" customFormat="1">
      <c r="A700" s="5">
        <v>1231</v>
      </c>
      <c r="B700" s="28">
        <v>20.338000000000001</v>
      </c>
      <c r="C700" s="5" t="s">
        <v>165</v>
      </c>
      <c r="D700" s="5">
        <v>123</v>
      </c>
      <c r="E700" s="5">
        <v>3</v>
      </c>
      <c r="F700" s="24">
        <v>50.593000000000004</v>
      </c>
      <c r="G700" s="24">
        <v>-144.87</v>
      </c>
      <c r="H700" s="5">
        <v>17</v>
      </c>
      <c r="I700" s="25">
        <v>43349.145138888889</v>
      </c>
      <c r="J700" s="26">
        <v>43349.145138888889</v>
      </c>
      <c r="K700" s="7">
        <v>2.2212883800000003</v>
      </c>
      <c r="L700" s="7">
        <v>1.3862751339429078</v>
      </c>
      <c r="M700" s="7">
        <v>6.1020486634231222E-2</v>
      </c>
      <c r="N700" s="6">
        <v>667.86862789357963</v>
      </c>
      <c r="O700" s="6">
        <v>48.80601460424743</v>
      </c>
      <c r="P700" s="7">
        <v>5.3045246601367619</v>
      </c>
      <c r="Q700" s="7">
        <v>1.8998610814664527</v>
      </c>
      <c r="R700" s="67">
        <v>3.542725606393196</v>
      </c>
      <c r="S700" s="7">
        <v>1.2950000301287643</v>
      </c>
      <c r="T700" s="171">
        <f t="shared" si="20"/>
        <v>2.5049154236749156</v>
      </c>
      <c r="U700" s="171">
        <f t="shared" si="21"/>
        <v>0.9715085559580724</v>
      </c>
    </row>
    <row r="701" spans="1:21" s="42" customFormat="1">
      <c r="A701" s="5">
        <v>1232</v>
      </c>
      <c r="B701" s="28">
        <v>35.283000000000001</v>
      </c>
      <c r="C701" s="5" t="s">
        <v>165</v>
      </c>
      <c r="D701" s="5">
        <v>123</v>
      </c>
      <c r="E701" s="5">
        <v>3</v>
      </c>
      <c r="F701" s="24">
        <v>50.593000000000004</v>
      </c>
      <c r="G701" s="24">
        <v>-144.87</v>
      </c>
      <c r="H701" s="5">
        <v>16</v>
      </c>
      <c r="I701" s="25">
        <v>43349.145138888889</v>
      </c>
      <c r="J701" s="26">
        <v>43349.145138888889</v>
      </c>
      <c r="K701" s="7">
        <v>2.2212805200000001</v>
      </c>
      <c r="L701" s="7">
        <v>1.5878144613508907</v>
      </c>
      <c r="M701" s="7">
        <v>6.9505881327113939E-2</v>
      </c>
      <c r="N701" s="6">
        <v>935.35240773153942</v>
      </c>
      <c r="O701" s="6">
        <v>56.9508575471189</v>
      </c>
      <c r="P701" s="7">
        <v>5.3045246601367619</v>
      </c>
      <c r="Q701" s="7">
        <v>1.8998610814664527</v>
      </c>
      <c r="R701" s="67">
        <v>4.9615999127302457</v>
      </c>
      <c r="S701" s="7">
        <v>1.8025350499956987</v>
      </c>
      <c r="T701" s="171">
        <f t="shared" si="20"/>
        <v>3.5081430311943613</v>
      </c>
      <c r="U701" s="171">
        <f t="shared" si="21"/>
        <v>1.3531953196940922</v>
      </c>
    </row>
    <row r="702" spans="1:21" s="42" customFormat="1">
      <c r="A702" s="5">
        <v>1233</v>
      </c>
      <c r="B702" s="28">
        <v>49.701999999999998</v>
      </c>
      <c r="C702" s="5" t="s">
        <v>165</v>
      </c>
      <c r="D702" s="5">
        <v>123</v>
      </c>
      <c r="E702" s="5">
        <v>3</v>
      </c>
      <c r="F702" s="24">
        <v>50.593000000000004</v>
      </c>
      <c r="G702" s="24">
        <v>-144.87</v>
      </c>
      <c r="H702" s="5">
        <v>15</v>
      </c>
      <c r="I702" s="25">
        <v>43349.145138888889</v>
      </c>
      <c r="J702" s="26">
        <v>43349.145138888889</v>
      </c>
      <c r="K702" s="7">
        <v>2.23641888</v>
      </c>
      <c r="L702" s="7">
        <v>1.6839291833782917</v>
      </c>
      <c r="M702" s="7">
        <v>6.792324876378622E-2</v>
      </c>
      <c r="N702" s="6">
        <v>1171.1938502753571</v>
      </c>
      <c r="O702" s="6">
        <v>63.906779186315269</v>
      </c>
      <c r="P702" s="7">
        <v>5.3045246601367619</v>
      </c>
      <c r="Q702" s="7">
        <v>1.8998610814664527</v>
      </c>
      <c r="R702" s="67">
        <v>6.2126266605861549</v>
      </c>
      <c r="S702" s="7">
        <v>2.250780457151266</v>
      </c>
      <c r="T702" s="171">
        <f t="shared" si="20"/>
        <v>4.3926925403290902</v>
      </c>
      <c r="U702" s="171">
        <f t="shared" si="21"/>
        <v>1.6902316077246184</v>
      </c>
    </row>
    <row r="703" spans="1:21" s="42" customFormat="1">
      <c r="A703" s="5">
        <v>1234</v>
      </c>
      <c r="B703" s="28">
        <v>64.968000000000004</v>
      </c>
      <c r="C703" s="5" t="s">
        <v>165</v>
      </c>
      <c r="D703" s="5">
        <v>123</v>
      </c>
      <c r="E703" s="5">
        <v>3</v>
      </c>
      <c r="F703" s="24">
        <v>50.593000000000004</v>
      </c>
      <c r="G703" s="24">
        <v>-144.87</v>
      </c>
      <c r="H703" s="5">
        <v>14</v>
      </c>
      <c r="I703" s="25">
        <v>43349.145138888889</v>
      </c>
      <c r="J703" s="26">
        <v>43349.145138888889</v>
      </c>
      <c r="K703" s="7">
        <v>2.2389969600000001</v>
      </c>
      <c r="L703" s="7">
        <v>1.8904039141448705</v>
      </c>
      <c r="M703" s="7">
        <v>8.9081412001226365E-2</v>
      </c>
      <c r="N703" s="6">
        <v>1322.2435884011797</v>
      </c>
      <c r="O703" s="6">
        <v>74.659517798718824</v>
      </c>
      <c r="P703" s="67">
        <v>4.2007583999999989</v>
      </c>
      <c r="Q703" s="7">
        <v>1.2587996318107388</v>
      </c>
      <c r="R703" s="67">
        <v>5.5544258608223975</v>
      </c>
      <c r="S703" s="7">
        <v>1.693729995487026</v>
      </c>
      <c r="T703" s="171">
        <f t="shared" si="20"/>
        <v>3.927305852681565</v>
      </c>
      <c r="U703" s="171">
        <f t="shared" si="21"/>
        <v>1.3012785969906329</v>
      </c>
    </row>
    <row r="704" spans="1:21" s="42" customFormat="1">
      <c r="A704" s="5">
        <v>1235</v>
      </c>
      <c r="B704" s="28">
        <v>79.834999999999994</v>
      </c>
      <c r="C704" s="5" t="s">
        <v>165</v>
      </c>
      <c r="D704" s="5">
        <v>123</v>
      </c>
      <c r="E704" s="5">
        <v>3</v>
      </c>
      <c r="F704" s="24">
        <v>50.593000000000004</v>
      </c>
      <c r="G704" s="24">
        <v>-144.87</v>
      </c>
      <c r="H704" s="5">
        <v>13</v>
      </c>
      <c r="I704" s="25">
        <v>43349.145138888889</v>
      </c>
      <c r="J704" s="26">
        <v>43349.145138888889</v>
      </c>
      <c r="K704" s="7">
        <v>2.24350074</v>
      </c>
      <c r="L704" s="7">
        <v>2.1860462828784568</v>
      </c>
      <c r="M704" s="7">
        <v>8.4287948496152079E-2</v>
      </c>
      <c r="N704" s="6">
        <v>1347.2963022185838</v>
      </c>
      <c r="O704" s="6">
        <v>83.215682885448999</v>
      </c>
      <c r="P704" s="67">
        <v>3.1050604999999996</v>
      </c>
      <c r="Q704" s="7">
        <v>0.75001179189659251</v>
      </c>
      <c r="R704" s="67">
        <v>4.183436529814986</v>
      </c>
      <c r="S704" s="7">
        <v>1.0430011892319202</v>
      </c>
      <c r="T704" s="171">
        <f t="shared" si="20"/>
        <v>2.9579357398122967</v>
      </c>
      <c r="U704" s="171">
        <f t="shared" si="21"/>
        <v>0.83118288151637343</v>
      </c>
    </row>
    <row r="705" spans="1:21" s="42" customFormat="1">
      <c r="A705" s="5">
        <v>1236</v>
      </c>
      <c r="B705" s="28">
        <v>95.290999999999997</v>
      </c>
      <c r="C705" s="5" t="s">
        <v>165</v>
      </c>
      <c r="D705" s="5">
        <v>123</v>
      </c>
      <c r="E705" s="5">
        <v>3</v>
      </c>
      <c r="F705" s="24">
        <v>50.593000000000004</v>
      </c>
      <c r="G705" s="24">
        <v>-144.87</v>
      </c>
      <c r="H705" s="5">
        <v>12</v>
      </c>
      <c r="I705" s="25">
        <v>43349.145138888889</v>
      </c>
      <c r="J705" s="26">
        <v>43349.145138888889</v>
      </c>
      <c r="K705" s="7">
        <v>2.2454264400000001</v>
      </c>
      <c r="L705" s="7">
        <v>2.1480064681007334</v>
      </c>
      <c r="M705" s="7">
        <v>8.6103833555353601E-2</v>
      </c>
      <c r="N705" s="6">
        <v>1389.1915935715119</v>
      </c>
      <c r="O705" s="6">
        <v>91.082283219456428</v>
      </c>
      <c r="P705" s="67">
        <v>1.9659532999999989</v>
      </c>
      <c r="Q705" s="7">
        <v>0.35608816899263707</v>
      </c>
      <c r="R705" s="67">
        <v>2.7310857977141714</v>
      </c>
      <c r="S705" s="7">
        <v>0.52608629743721247</v>
      </c>
      <c r="T705" s="171">
        <f t="shared" si="20"/>
        <v>1.9310383298464415</v>
      </c>
      <c r="U705" s="171">
        <f t="shared" si="21"/>
        <v>0.44835282601189408</v>
      </c>
    </row>
    <row r="706" spans="1:21" s="42" customFormat="1">
      <c r="A706" s="5">
        <v>1237</v>
      </c>
      <c r="B706" s="28">
        <v>109.741</v>
      </c>
      <c r="C706" s="5" t="s">
        <v>165</v>
      </c>
      <c r="D706" s="5">
        <v>123</v>
      </c>
      <c r="E706" s="5">
        <v>3</v>
      </c>
      <c r="F706" s="24">
        <v>50.593000000000004</v>
      </c>
      <c r="G706" s="24">
        <v>-144.87</v>
      </c>
      <c r="H706" s="5">
        <v>11</v>
      </c>
      <c r="I706" s="25">
        <v>43349.145138888889</v>
      </c>
      <c r="J706" s="26">
        <v>43349.145138888889</v>
      </c>
      <c r="K706" s="7">
        <v>2.2505826</v>
      </c>
      <c r="L706" s="7">
        <v>2.2277391855986042</v>
      </c>
      <c r="M706" s="7">
        <v>8.7261767578912505E-2</v>
      </c>
      <c r="N706" s="6">
        <v>1398.9854722089422</v>
      </c>
      <c r="O706" s="6">
        <v>98.466663201364597</v>
      </c>
      <c r="P706" s="67">
        <v>1.5181159000000002</v>
      </c>
      <c r="Q706" s="7">
        <v>0.27502897667206438</v>
      </c>
      <c r="R706" s="67">
        <v>2.1238220892294035</v>
      </c>
      <c r="S706" s="7">
        <v>0.41277942460998479</v>
      </c>
      <c r="T706" s="171">
        <f t="shared" si="20"/>
        <v>1.5016671623824784</v>
      </c>
      <c r="U706" s="171">
        <f t="shared" si="21"/>
        <v>0.35081614177968307</v>
      </c>
    </row>
    <row r="707" spans="1:21" s="42" customFormat="1">
      <c r="A707" s="5">
        <v>1238</v>
      </c>
      <c r="B707" s="28">
        <v>125.10599999999999</v>
      </c>
      <c r="C707" s="5" t="s">
        <v>165</v>
      </c>
      <c r="D707" s="5">
        <v>123</v>
      </c>
      <c r="E707" s="5">
        <v>3</v>
      </c>
      <c r="F707" s="24">
        <v>50.593000000000004</v>
      </c>
      <c r="G707" s="24">
        <v>-144.87</v>
      </c>
      <c r="H707" s="5">
        <v>10</v>
      </c>
      <c r="I707" s="25">
        <v>43349.145138888889</v>
      </c>
      <c r="J707" s="26">
        <v>43349.145138888889</v>
      </c>
      <c r="K707" s="7">
        <v>2.2726141800000002</v>
      </c>
      <c r="L707" s="7">
        <v>2.3479778749711566</v>
      </c>
      <c r="M707" s="7">
        <v>9.1091201669588839E-2</v>
      </c>
      <c r="N707" s="6">
        <v>1306.3720795360696</v>
      </c>
      <c r="O707" s="6">
        <v>149.08522879165523</v>
      </c>
      <c r="P707" s="67">
        <v>1.3629294000000001</v>
      </c>
      <c r="Q707" s="7">
        <v>0.28664051973301086</v>
      </c>
      <c r="R707" s="67">
        <v>1.7804929145388475</v>
      </c>
      <c r="S707" s="7">
        <v>0.42603629059846992</v>
      </c>
      <c r="T707" s="171">
        <f t="shared" si="20"/>
        <v>1.2589132376845058</v>
      </c>
      <c r="U707" s="171">
        <f t="shared" si="21"/>
        <v>0.34259462156760701</v>
      </c>
    </row>
    <row r="708" spans="1:21" s="42" customFormat="1">
      <c r="A708" s="5">
        <v>1240</v>
      </c>
      <c r="B708" s="28">
        <v>195.19900000000001</v>
      </c>
      <c r="C708" s="5" t="s">
        <v>165</v>
      </c>
      <c r="D708" s="5">
        <v>123</v>
      </c>
      <c r="E708" s="5">
        <v>3</v>
      </c>
      <c r="F708" s="24">
        <v>50.593000000000004</v>
      </c>
      <c r="G708" s="24">
        <v>-144.87</v>
      </c>
      <c r="H708" s="5">
        <v>8</v>
      </c>
      <c r="I708" s="25">
        <v>43349.145138888889</v>
      </c>
      <c r="J708" s="26">
        <v>43349.145138888889</v>
      </c>
      <c r="K708" s="7">
        <v>2.32810578</v>
      </c>
      <c r="L708" s="7">
        <v>2.1359081524237116</v>
      </c>
      <c r="M708" s="7">
        <v>8.1276737642288696E-2</v>
      </c>
      <c r="N708" s="6">
        <v>1654.4480526778075</v>
      </c>
      <c r="O708" s="6">
        <v>209.50583885015939</v>
      </c>
      <c r="P708" s="67">
        <v>1.0353418000000001</v>
      </c>
      <c r="Q708" s="7">
        <v>8.0381433895527585E-2</v>
      </c>
      <c r="R708" s="67">
        <v>1.7129192248659362</v>
      </c>
      <c r="S708" s="7">
        <v>0.25443178171789116</v>
      </c>
      <c r="T708" s="171">
        <f t="shared" si="20"/>
        <v>1.2111346636987474</v>
      </c>
      <c r="U708" s="171">
        <f t="shared" si="21"/>
        <v>0.23876835028044413</v>
      </c>
    </row>
    <row r="709" spans="1:21" s="42" customFormat="1">
      <c r="A709" s="5">
        <v>1242</v>
      </c>
      <c r="B709" s="28">
        <v>251.047</v>
      </c>
      <c r="C709" s="5" t="s">
        <v>165</v>
      </c>
      <c r="D709" s="5">
        <v>123</v>
      </c>
      <c r="E709" s="5">
        <v>3</v>
      </c>
      <c r="F709" s="24">
        <v>50.593000000000004</v>
      </c>
      <c r="G709" s="24">
        <v>-144.87</v>
      </c>
      <c r="H709" s="5">
        <v>6</v>
      </c>
      <c r="I709" s="25">
        <v>43349.145138888889</v>
      </c>
      <c r="J709" s="26">
        <v>43349.145138888889</v>
      </c>
      <c r="K709" s="7">
        <v>2.3383866600000003</v>
      </c>
      <c r="L709" s="7">
        <v>2.1915467188002715</v>
      </c>
      <c r="M709" s="7">
        <v>8.4572295725415039E-2</v>
      </c>
      <c r="N709" s="6">
        <v>1824.4221655361357</v>
      </c>
      <c r="O709" s="6">
        <v>231.24965024142088</v>
      </c>
      <c r="P709" s="67">
        <v>0.98556710000000003</v>
      </c>
      <c r="Q709" s="7">
        <v>9.6794227254039716E-2</v>
      </c>
      <c r="R709" s="67">
        <v>1.7980904628631693</v>
      </c>
      <c r="S709" s="7">
        <v>0.28832130928308558</v>
      </c>
      <c r="T709" s="171">
        <f t="shared" si="20"/>
        <v>1.2713557396205608</v>
      </c>
      <c r="U709" s="171">
        <f t="shared" si="21"/>
        <v>0.26214093611110756</v>
      </c>
    </row>
    <row r="710" spans="1:21" s="42" customFormat="1">
      <c r="A710" s="5">
        <v>1243</v>
      </c>
      <c r="B710" s="28">
        <v>275.695999999999</v>
      </c>
      <c r="C710" s="5" t="s">
        <v>165</v>
      </c>
      <c r="D710" s="5">
        <v>123</v>
      </c>
      <c r="E710" s="5">
        <v>3</v>
      </c>
      <c r="F710" s="24">
        <v>50.593000000000004</v>
      </c>
      <c r="G710" s="24">
        <v>-144.87</v>
      </c>
      <c r="H710" s="5">
        <v>5</v>
      </c>
      <c r="I710" s="25">
        <v>43349.145138888889</v>
      </c>
      <c r="J710" s="26">
        <v>43349.145138888889</v>
      </c>
      <c r="K710" s="7">
        <v>2.3423166600000003</v>
      </c>
      <c r="L710" s="7">
        <v>2.307684956701765</v>
      </c>
      <c r="M710" s="7">
        <v>8.505893464941916E-2</v>
      </c>
      <c r="N710" s="6">
        <v>1849.0140957975348</v>
      </c>
      <c r="O710" s="6">
        <v>239.00751122116699</v>
      </c>
      <c r="P710" s="67">
        <v>0.96831280000000075</v>
      </c>
      <c r="Q710" s="7">
        <v>0.11374051586177215</v>
      </c>
      <c r="R710" s="67">
        <v>1.7904240163411804</v>
      </c>
      <c r="S710" s="7">
        <v>0.31271566844046894</v>
      </c>
      <c r="T710" s="171">
        <f t="shared" si="20"/>
        <v>1.2659351109094199</v>
      </c>
      <c r="U710" s="171">
        <f t="shared" si="21"/>
        <v>0.27534838482915491</v>
      </c>
    </row>
    <row r="711" spans="1:21" s="42" customFormat="1">
      <c r="A711" s="5">
        <v>1244</v>
      </c>
      <c r="B711" s="28">
        <v>300.428</v>
      </c>
      <c r="C711" s="5" t="s">
        <v>165</v>
      </c>
      <c r="D711" s="5">
        <v>123</v>
      </c>
      <c r="E711" s="5">
        <v>3</v>
      </c>
      <c r="F711" s="24">
        <v>50.593000000000004</v>
      </c>
      <c r="G711" s="24">
        <v>-144.87</v>
      </c>
      <c r="H711" s="5">
        <v>4</v>
      </c>
      <c r="I711" s="25">
        <v>43349.145138888889</v>
      </c>
      <c r="J711" s="26">
        <v>43349.145138888889</v>
      </c>
      <c r="K711" s="7">
        <v>2.3461130400000001</v>
      </c>
      <c r="L711" s="7">
        <v>2.4028710053208551</v>
      </c>
      <c r="M711" s="7">
        <v>9.2860993919721066E-2</v>
      </c>
      <c r="N711" s="6">
        <v>1803.8858965992063</v>
      </c>
      <c r="O711" s="6">
        <v>250.15195917026543</v>
      </c>
      <c r="P711" s="67">
        <v>0.95100039999999997</v>
      </c>
      <c r="Q711" s="7">
        <v>0.1300761875793072</v>
      </c>
      <c r="R711" s="67">
        <v>1.7154962092202037</v>
      </c>
      <c r="S711" s="7">
        <v>0.33414218060634043</v>
      </c>
      <c r="T711" s="171">
        <f t="shared" ref="T711:T765" si="22">R711*U$1</f>
        <v>1.2129567432422281</v>
      </c>
      <c r="U711" s="171">
        <f t="shared" ref="U711:U765" si="23">((((S711/R711)^2+(V$1/U$1)^2))^0.5)*T711</f>
        <v>0.28379410123941534</v>
      </c>
    </row>
    <row r="712" spans="1:21" s="42" customFormat="1">
      <c r="A712" s="5">
        <v>1245</v>
      </c>
      <c r="B712" s="28">
        <v>330.988</v>
      </c>
      <c r="C712" s="5" t="s">
        <v>165</v>
      </c>
      <c r="D712" s="5">
        <v>123</v>
      </c>
      <c r="E712" s="5">
        <v>3</v>
      </c>
      <c r="F712" s="24">
        <v>50.593000000000004</v>
      </c>
      <c r="G712" s="24">
        <v>-144.87</v>
      </c>
      <c r="H712" s="5">
        <v>3</v>
      </c>
      <c r="I712" s="25">
        <v>43349.145138888889</v>
      </c>
      <c r="J712" s="26">
        <v>43349.145138888889</v>
      </c>
      <c r="K712" s="7">
        <v>2.3496343200000003</v>
      </c>
      <c r="L712" s="7">
        <v>2.3799079020679375</v>
      </c>
      <c r="M712" s="7">
        <v>9.1278021578400356E-2</v>
      </c>
      <c r="N712" s="6">
        <v>1716.6231742222565</v>
      </c>
      <c r="O712" s="6">
        <v>363.04393885304762</v>
      </c>
      <c r="P712" s="67">
        <v>0.92960480000000001</v>
      </c>
      <c r="Q712" s="7">
        <v>0.14895015692263042</v>
      </c>
      <c r="R712" s="67">
        <v>1.595781142548246</v>
      </c>
      <c r="S712" s="7">
        <v>0.42340969941288703</v>
      </c>
      <c r="T712" s="171">
        <f t="shared" si="22"/>
        <v>1.1283111482202195</v>
      </c>
      <c r="U712" s="171">
        <f t="shared" si="23"/>
        <v>0.33319209896256868</v>
      </c>
    </row>
    <row r="713" spans="1:21" s="42" customFormat="1">
      <c r="A713" s="5">
        <v>1246</v>
      </c>
      <c r="B713" s="28">
        <v>500.87799999999999</v>
      </c>
      <c r="C713" s="5" t="s">
        <v>165</v>
      </c>
      <c r="D713" s="5">
        <v>123</v>
      </c>
      <c r="E713" s="5">
        <v>3</v>
      </c>
      <c r="F713" s="24">
        <v>50.593000000000004</v>
      </c>
      <c r="G713" s="24">
        <v>-144.87</v>
      </c>
      <c r="H713" s="5">
        <v>2</v>
      </c>
      <c r="I713" s="25">
        <v>43349.145138888889</v>
      </c>
      <c r="J713" s="26">
        <v>43349.145138888889</v>
      </c>
      <c r="K713" s="7">
        <v>2.3532813600000004</v>
      </c>
      <c r="L713" s="7">
        <v>2.4904876347636331</v>
      </c>
      <c r="M713" s="7">
        <v>9.0478670305888867E-2</v>
      </c>
      <c r="N713" s="6">
        <v>884.41254810122621</v>
      </c>
      <c r="O713" s="6">
        <v>658.00486351323116</v>
      </c>
      <c r="P713" s="68">
        <v>0.87680272990205399</v>
      </c>
      <c r="Q713" s="7">
        <v>0.15828163628098546</v>
      </c>
      <c r="R713" s="67">
        <v>0.77545533653478671</v>
      </c>
      <c r="S713" s="7">
        <v>0.59368042713139479</v>
      </c>
      <c r="T713" s="171">
        <f t="shared" si="22"/>
        <v>0.54829254327562593</v>
      </c>
      <c r="U713" s="171">
        <f t="shared" si="23"/>
        <v>0.42574126231913367</v>
      </c>
    </row>
    <row r="714" spans="1:21" s="42" customFormat="1">
      <c r="A714" s="5">
        <v>1247</v>
      </c>
      <c r="B714" s="28">
        <v>752.78199999999902</v>
      </c>
      <c r="C714" s="5" t="s">
        <v>165</v>
      </c>
      <c r="D714" s="5">
        <v>123</v>
      </c>
      <c r="E714" s="5">
        <v>3</v>
      </c>
      <c r="F714" s="24">
        <v>50.593000000000004</v>
      </c>
      <c r="G714" s="24">
        <v>-144.87</v>
      </c>
      <c r="H714" s="5">
        <v>1</v>
      </c>
      <c r="I714" s="25">
        <v>43349.145138888889</v>
      </c>
      <c r="J714" s="26">
        <v>43349.145138888889</v>
      </c>
      <c r="K714" s="7">
        <v>2.36570802</v>
      </c>
      <c r="L714" s="7">
        <v>2.4410007050269851</v>
      </c>
      <c r="M714" s="7">
        <v>9.0543336472264188E-2</v>
      </c>
      <c r="N714" s="6">
        <v>611.67386785366546</v>
      </c>
      <c r="O714" s="6">
        <v>735.21616392519002</v>
      </c>
      <c r="P714" s="68">
        <v>0.87680272990205399</v>
      </c>
      <c r="Q714" s="7">
        <v>0.15828163628098546</v>
      </c>
      <c r="R714" s="67">
        <v>0.53631731714384201</v>
      </c>
      <c r="S714" s="7">
        <v>0.65186932531569441</v>
      </c>
      <c r="T714" s="171">
        <f t="shared" si="22"/>
        <v>0.37920789498153928</v>
      </c>
      <c r="U714" s="171">
        <f t="shared" si="23"/>
        <v>0.46352367214178153</v>
      </c>
    </row>
    <row r="715" spans="1:21" s="42" customFormat="1">
      <c r="A715" s="5">
        <v>1248</v>
      </c>
      <c r="B715" s="28">
        <v>4.7530000000000001</v>
      </c>
      <c r="C715" s="5" t="s">
        <v>150</v>
      </c>
      <c r="D715" s="5">
        <v>127</v>
      </c>
      <c r="E715" s="5">
        <v>3</v>
      </c>
      <c r="F715" s="24">
        <v>50.863</v>
      </c>
      <c r="G715" s="24">
        <v>-144.87</v>
      </c>
      <c r="H715" s="5">
        <v>24</v>
      </c>
      <c r="I715" s="25">
        <v>43349.655555555553</v>
      </c>
      <c r="J715" s="26">
        <v>43349.655555555553</v>
      </c>
      <c r="K715" s="7">
        <v>2.2213748399999997</v>
      </c>
      <c r="L715" s="7">
        <v>1.5055686136966604</v>
      </c>
      <c r="M715" s="7">
        <v>6.5139249263640384E-2</v>
      </c>
      <c r="N715" s="6">
        <v>309.4266969328495</v>
      </c>
      <c r="O715" s="6">
        <v>28.158210979003545</v>
      </c>
      <c r="P715" s="7">
        <v>5.3045246601367619</v>
      </c>
      <c r="Q715" s="7">
        <v>1.8998610814664527</v>
      </c>
      <c r="R715" s="67">
        <v>1.6413615443849645</v>
      </c>
      <c r="S715" s="7">
        <v>0.60654650114179831</v>
      </c>
      <c r="T715" s="171">
        <f t="shared" si="22"/>
        <v>1.1605391738319284</v>
      </c>
      <c r="U715" s="171">
        <f t="shared" si="23"/>
        <v>0.45448330833750805</v>
      </c>
    </row>
    <row r="716" spans="1:21" s="42" customFormat="1">
      <c r="A716" s="5">
        <v>1249</v>
      </c>
      <c r="B716" s="28">
        <v>25.308</v>
      </c>
      <c r="C716" s="5" t="s">
        <v>150</v>
      </c>
      <c r="D716" s="5">
        <v>127</v>
      </c>
      <c r="E716" s="5">
        <v>3</v>
      </c>
      <c r="F716" s="24">
        <v>50.863</v>
      </c>
      <c r="G716" s="24">
        <v>-144.87</v>
      </c>
      <c r="H716" s="5">
        <v>20</v>
      </c>
      <c r="I716" s="25">
        <v>43349.655555555553</v>
      </c>
      <c r="J716" s="26">
        <v>43349.655555555553</v>
      </c>
      <c r="K716" s="7">
        <v>2.2221058200000003</v>
      </c>
      <c r="L716" s="7">
        <v>1.3365887917454633</v>
      </c>
      <c r="M716" s="7">
        <v>5.8464980338314015E-2</v>
      </c>
      <c r="N716" s="6">
        <v>708.15813680130896</v>
      </c>
      <c r="O716" s="6">
        <v>38.547704884701382</v>
      </c>
      <c r="P716" s="7">
        <v>5.3045246601367619</v>
      </c>
      <c r="Q716" s="7">
        <v>1.8998610814664527</v>
      </c>
      <c r="R716" s="67">
        <v>3.7564422999390459</v>
      </c>
      <c r="S716" s="7">
        <v>1.3608518335520077</v>
      </c>
      <c r="T716" s="171">
        <f t="shared" si="22"/>
        <v>2.6560256990498212</v>
      </c>
      <c r="U716" s="171">
        <f t="shared" si="23"/>
        <v>1.0219428806037298</v>
      </c>
    </row>
    <row r="717" spans="1:21" s="42" customFormat="1">
      <c r="A717" s="5">
        <v>1250</v>
      </c>
      <c r="B717" s="28">
        <v>36.066000000000003</v>
      </c>
      <c r="C717" s="5" t="s">
        <v>150</v>
      </c>
      <c r="D717" s="5">
        <v>127</v>
      </c>
      <c r="E717" s="5">
        <v>3</v>
      </c>
      <c r="F717" s="24">
        <v>50.863</v>
      </c>
      <c r="G717" s="24">
        <v>-144.87</v>
      </c>
      <c r="H717" s="5">
        <v>17</v>
      </c>
      <c r="I717" s="25">
        <v>43349.655555555553</v>
      </c>
      <c r="J717" s="26">
        <v>43349.655555555553</v>
      </c>
      <c r="K717" s="7">
        <v>2.23616736</v>
      </c>
      <c r="L717" s="7">
        <v>1.5855242222398025</v>
      </c>
      <c r="M717" s="7">
        <v>6.637083680116436E-2</v>
      </c>
      <c r="N717" s="6">
        <v>983.20376869350014</v>
      </c>
      <c r="O717" s="6">
        <v>47.677179067632025</v>
      </c>
      <c r="P717" s="7">
        <v>5.3045246601367619</v>
      </c>
      <c r="Q717" s="7">
        <v>1.8998610814664527</v>
      </c>
      <c r="R717" s="67">
        <v>5.2154286369740719</v>
      </c>
      <c r="S717" s="7">
        <v>1.8849934152350065</v>
      </c>
      <c r="T717" s="171">
        <f t="shared" si="22"/>
        <v>3.6876148720794384</v>
      </c>
      <c r="U717" s="171">
        <f t="shared" si="23"/>
        <v>1.4159273676364781</v>
      </c>
    </row>
    <row r="718" spans="1:21" s="42" customFormat="1">
      <c r="A718" s="5">
        <v>1251</v>
      </c>
      <c r="B718" s="28">
        <v>54.704999999999998</v>
      </c>
      <c r="C718" s="5" t="s">
        <v>150</v>
      </c>
      <c r="D718" s="5">
        <v>127</v>
      </c>
      <c r="E718" s="5">
        <v>3</v>
      </c>
      <c r="F718" s="24">
        <v>50.863</v>
      </c>
      <c r="G718" s="24">
        <v>-144.87</v>
      </c>
      <c r="H718" s="5">
        <v>14</v>
      </c>
      <c r="I718" s="25">
        <v>43349.655555555553</v>
      </c>
      <c r="J718" s="26">
        <v>43349.655555555553</v>
      </c>
      <c r="K718" s="7">
        <v>2.2390362600000002</v>
      </c>
      <c r="L718" s="7">
        <v>1.8020871546838344</v>
      </c>
      <c r="M718" s="7">
        <v>7.3101806650187659E-2</v>
      </c>
      <c r="N718" s="6">
        <v>1230.0882977521708</v>
      </c>
      <c r="O718" s="6">
        <v>63.080314822569477</v>
      </c>
      <c r="P718" s="67">
        <v>4.9571414999999996</v>
      </c>
      <c r="Q718" s="7">
        <v>1.6843283929439326</v>
      </c>
      <c r="R718" s="67">
        <v>6.097721749451642</v>
      </c>
      <c r="S718" s="7">
        <v>2.0953368054754677</v>
      </c>
      <c r="T718" s="171">
        <f t="shared" si="22"/>
        <v>4.3114480082554163</v>
      </c>
      <c r="U718" s="171">
        <f t="shared" si="23"/>
        <v>1.5834324391755126</v>
      </c>
    </row>
    <row r="719" spans="1:21" s="42" customFormat="1">
      <c r="A719" s="5">
        <v>1252</v>
      </c>
      <c r="B719" s="28">
        <v>75.358000000000004</v>
      </c>
      <c r="C719" s="5" t="s">
        <v>150</v>
      </c>
      <c r="D719" s="5">
        <v>127</v>
      </c>
      <c r="E719" s="5">
        <v>3</v>
      </c>
      <c r="F719" s="24">
        <v>50.863</v>
      </c>
      <c r="G719" s="24">
        <v>-144.87</v>
      </c>
      <c r="H719" s="5">
        <v>11</v>
      </c>
      <c r="I719" s="25">
        <v>43349.655555555553</v>
      </c>
      <c r="J719" s="26">
        <v>43349.655555555553</v>
      </c>
      <c r="K719" s="7">
        <v>2.2427068800000001</v>
      </c>
      <c r="L719" s="7">
        <v>2.0455440533099503</v>
      </c>
      <c r="M719" s="7">
        <v>8.2136682286361132E-2</v>
      </c>
      <c r="N719" s="6">
        <v>1347.2359863739398</v>
      </c>
      <c r="O719" s="6">
        <v>79.754946718422744</v>
      </c>
      <c r="P719" s="67">
        <v>3.4350153999999984</v>
      </c>
      <c r="Q719" s="7">
        <v>0.88982554973190076</v>
      </c>
      <c r="R719" s="67">
        <v>4.6277763606286708</v>
      </c>
      <c r="S719" s="7">
        <v>1.2297102197669536</v>
      </c>
      <c r="T719" s="171">
        <f t="shared" si="22"/>
        <v>3.272110140886352</v>
      </c>
      <c r="U719" s="171">
        <f t="shared" si="23"/>
        <v>0.96741526652521914</v>
      </c>
    </row>
    <row r="720" spans="1:21" s="42" customFormat="1">
      <c r="A720" s="5">
        <v>1253</v>
      </c>
      <c r="B720" s="28">
        <v>96.024000000000001</v>
      </c>
      <c r="C720" s="5" t="s">
        <v>150</v>
      </c>
      <c r="D720" s="5">
        <v>127</v>
      </c>
      <c r="E720" s="5">
        <v>3</v>
      </c>
      <c r="F720" s="24">
        <v>50.863</v>
      </c>
      <c r="G720" s="24">
        <v>-144.87</v>
      </c>
      <c r="H720" s="5">
        <v>10</v>
      </c>
      <c r="I720" s="25">
        <v>43349.655555555553</v>
      </c>
      <c r="J720" s="26">
        <v>43349.655555555553</v>
      </c>
      <c r="K720" s="7">
        <v>2.24969442</v>
      </c>
      <c r="L720" s="7">
        <v>2.2888999003167427</v>
      </c>
      <c r="M720" s="7">
        <v>8.4670341362217655E-2</v>
      </c>
      <c r="N720" s="6">
        <v>1327.1921006622772</v>
      </c>
      <c r="O720" s="6">
        <v>90.745210480416972</v>
      </c>
      <c r="P720" s="67">
        <v>1.9119311999999988</v>
      </c>
      <c r="Q720" s="7">
        <v>0.34082503136974063</v>
      </c>
      <c r="R720" s="67">
        <v>2.5374999856497471</v>
      </c>
      <c r="S720" s="7">
        <v>0.48447239475040466</v>
      </c>
      <c r="T720" s="171">
        <f t="shared" si="22"/>
        <v>1.7941617719866594</v>
      </c>
      <c r="U720" s="171">
        <f t="shared" si="23"/>
        <v>0.41403973980574699</v>
      </c>
    </row>
    <row r="721" spans="1:21" s="42" customFormat="1">
      <c r="A721" s="5">
        <v>1254</v>
      </c>
      <c r="B721" s="28">
        <v>110.911</v>
      </c>
      <c r="C721" s="5" t="s">
        <v>150</v>
      </c>
      <c r="D721" s="5">
        <v>127</v>
      </c>
      <c r="E721" s="5">
        <v>3</v>
      </c>
      <c r="F721" s="24">
        <v>50.863</v>
      </c>
      <c r="G721" s="24">
        <v>-144.87</v>
      </c>
      <c r="H721" s="5">
        <v>7</v>
      </c>
      <c r="I721" s="25">
        <v>43349.655555555553</v>
      </c>
      <c r="J721" s="26">
        <v>43349.655555555553</v>
      </c>
      <c r="K721" s="7">
        <v>2.2714509000000001</v>
      </c>
      <c r="L721" s="7">
        <v>1.9504242368844475</v>
      </c>
      <c r="M721" s="7">
        <v>8.3451630125954371E-2</v>
      </c>
      <c r="N721" s="6">
        <v>1464.2980941056414</v>
      </c>
      <c r="O721" s="6">
        <v>97.49346510806069</v>
      </c>
      <c r="P721" s="67">
        <v>1.5062989</v>
      </c>
      <c r="Q721" s="7">
        <v>0.27623136902951628</v>
      </c>
      <c r="R721" s="67">
        <v>2.2056706084234241</v>
      </c>
      <c r="S721" s="7">
        <v>0.4303188989546563</v>
      </c>
      <c r="T721" s="171">
        <f t="shared" si="22"/>
        <v>1.5595388806335531</v>
      </c>
      <c r="U721" s="171">
        <f t="shared" si="23"/>
        <v>0.36529635663926324</v>
      </c>
    </row>
    <row r="722" spans="1:21" s="42" customFormat="1">
      <c r="A722" s="5">
        <v>1255</v>
      </c>
      <c r="B722" s="28">
        <v>125.72399999999899</v>
      </c>
      <c r="C722" s="5" t="s">
        <v>150</v>
      </c>
      <c r="D722" s="5">
        <v>127</v>
      </c>
      <c r="E722" s="5">
        <v>3</v>
      </c>
      <c r="F722" s="24">
        <v>50.863</v>
      </c>
      <c r="G722" s="24">
        <v>-144.87</v>
      </c>
      <c r="H722" s="5">
        <v>6</v>
      </c>
      <c r="I722" s="25">
        <v>43349.655555555553</v>
      </c>
      <c r="J722" s="26">
        <v>43349.655555555553</v>
      </c>
      <c r="K722" s="7">
        <v>2.30376336</v>
      </c>
      <c r="L722" s="7">
        <v>2.4248495889560329</v>
      </c>
      <c r="M722" s="7">
        <v>8.8837386309217406E-2</v>
      </c>
      <c r="N722" s="6">
        <v>1395.3614541788379</v>
      </c>
      <c r="O722" s="6">
        <v>109.8316250912805</v>
      </c>
      <c r="P722" s="67">
        <v>1.3566876000000103</v>
      </c>
      <c r="Q722" s="7">
        <v>0.28691830106069238</v>
      </c>
      <c r="R722" s="67">
        <v>1.893069582402412</v>
      </c>
      <c r="S722" s="7">
        <v>0.42718504524001694</v>
      </c>
      <c r="T722" s="171">
        <f t="shared" si="22"/>
        <v>1.3385115647941424</v>
      </c>
      <c r="U722" s="171">
        <f t="shared" si="23"/>
        <v>0.34833179946948717</v>
      </c>
    </row>
    <row r="723" spans="1:21" s="42" customFormat="1">
      <c r="A723" s="5">
        <v>1256</v>
      </c>
      <c r="B723" s="28">
        <v>150.50200000000001</v>
      </c>
      <c r="C723" s="5" t="s">
        <v>150</v>
      </c>
      <c r="D723" s="5">
        <v>127</v>
      </c>
      <c r="E723" s="5">
        <v>3</v>
      </c>
      <c r="F723" s="24">
        <v>50.863</v>
      </c>
      <c r="G723" s="24">
        <v>-144.87</v>
      </c>
      <c r="H723" s="5">
        <v>5</v>
      </c>
      <c r="I723" s="25">
        <v>43349.655555555553</v>
      </c>
      <c r="J723" s="26">
        <v>43349.655555555553</v>
      </c>
      <c r="K723" s="7">
        <v>2.3275555800000003</v>
      </c>
      <c r="L723" s="7">
        <v>2.6166880545973279</v>
      </c>
      <c r="M723" s="7">
        <v>9.5005274700624878E-2</v>
      </c>
      <c r="N723" s="6">
        <v>1104.058768575127</v>
      </c>
      <c r="O723" s="6">
        <v>145.6880018069908</v>
      </c>
      <c r="P723" s="67">
        <v>1.1157964</v>
      </c>
      <c r="Q723" s="7">
        <v>0.2852210317330704</v>
      </c>
      <c r="R723" s="67">
        <v>1.23190479936456</v>
      </c>
      <c r="S723" s="7">
        <v>0.35438348350066812</v>
      </c>
      <c r="T723" s="171">
        <f t="shared" si="22"/>
        <v>0.87102916659951835</v>
      </c>
      <c r="U723" s="171">
        <f t="shared" si="23"/>
        <v>0.27483332890527112</v>
      </c>
    </row>
    <row r="724" spans="1:21" s="42" customFormat="1">
      <c r="A724" s="5">
        <v>1257</v>
      </c>
      <c r="B724" s="28">
        <v>195.78700000000001</v>
      </c>
      <c r="C724" s="5" t="s">
        <v>150</v>
      </c>
      <c r="D724" s="5">
        <v>127</v>
      </c>
      <c r="E724" s="5">
        <v>3</v>
      </c>
      <c r="F724" s="24">
        <v>50.863</v>
      </c>
      <c r="G724" s="24">
        <v>-144.87</v>
      </c>
      <c r="H724" s="5">
        <v>3</v>
      </c>
      <c r="I724" s="25">
        <v>43349.655555555553</v>
      </c>
      <c r="J724" s="26">
        <v>43349.655555555553</v>
      </c>
      <c r="K724" s="7">
        <v>2.3372391000000001</v>
      </c>
      <c r="L724" s="7">
        <v>2.2773456204283953</v>
      </c>
      <c r="M724" s="7">
        <v>8.2932709237994423E-2</v>
      </c>
      <c r="N724" s="6">
        <v>1259.6279275506286</v>
      </c>
      <c r="O724" s="6">
        <v>260.05250699765026</v>
      </c>
      <c r="P724" s="67">
        <v>1.0342834000000001</v>
      </c>
      <c r="Q724" s="7">
        <v>7.7877574577444375E-2</v>
      </c>
      <c r="R724" s="67">
        <v>1.3028122556420179</v>
      </c>
      <c r="S724" s="7">
        <v>0.28629836903322758</v>
      </c>
      <c r="T724" s="171">
        <f t="shared" si="22"/>
        <v>0.921164909701505</v>
      </c>
      <c r="U724" s="171">
        <f t="shared" si="23"/>
        <v>0.2350226329479482</v>
      </c>
    </row>
    <row r="725" spans="1:21" s="42" customFormat="1">
      <c r="A725" s="5">
        <v>1258</v>
      </c>
      <c r="B725" s="28">
        <v>331.13</v>
      </c>
      <c r="C725" s="5" t="s">
        <v>150</v>
      </c>
      <c r="D725" s="5">
        <v>127</v>
      </c>
      <c r="E725" s="5">
        <v>3</v>
      </c>
      <c r="F725" s="24">
        <v>50.863</v>
      </c>
      <c r="G725" s="24">
        <v>-144.87</v>
      </c>
      <c r="H725" s="5">
        <v>2</v>
      </c>
      <c r="I725" s="25">
        <v>43349.655555555553</v>
      </c>
      <c r="J725" s="26">
        <v>43349.655555555553</v>
      </c>
      <c r="K725" s="7">
        <v>2.3525268000000001</v>
      </c>
      <c r="L725" s="7">
        <v>2.3241099920016017</v>
      </c>
      <c r="M725" s="7">
        <v>9.9723304196327356E-2</v>
      </c>
      <c r="N725" s="6">
        <v>1314.9336382766814</v>
      </c>
      <c r="O725" s="6">
        <v>324.49373616213961</v>
      </c>
      <c r="P725" s="67">
        <v>0.92954800000000004</v>
      </c>
      <c r="Q725" s="7">
        <v>0.14895702737804001</v>
      </c>
      <c r="R725" s="67">
        <v>1.2222939335928127</v>
      </c>
      <c r="S725" s="7">
        <v>0.3596479917146102</v>
      </c>
      <c r="T725" s="171">
        <f t="shared" si="22"/>
        <v>0.8642337190878413</v>
      </c>
      <c r="U725" s="171">
        <f t="shared" si="23"/>
        <v>0.27787493744241926</v>
      </c>
    </row>
    <row r="726" spans="1:21" s="42" customFormat="1">
      <c r="A726" s="5">
        <v>1275</v>
      </c>
      <c r="B726" s="28">
        <v>5.59</v>
      </c>
      <c r="C726" s="5" t="s">
        <v>156</v>
      </c>
      <c r="D726" s="5">
        <v>128</v>
      </c>
      <c r="E726" s="5">
        <v>3</v>
      </c>
      <c r="F726" s="24">
        <v>50.593000000000004</v>
      </c>
      <c r="G726" s="24">
        <v>-144.44999999999999</v>
      </c>
      <c r="H726" s="5">
        <v>17</v>
      </c>
      <c r="I726" s="25">
        <v>43349.792361111111</v>
      </c>
      <c r="J726" s="26">
        <v>43349.792361111111</v>
      </c>
      <c r="K726" s="7">
        <v>2.2205652599999999</v>
      </c>
      <c r="L726" s="7">
        <v>1.5284466035663682</v>
      </c>
      <c r="M726" s="7">
        <v>6.8433139061266995E-2</v>
      </c>
      <c r="N726" s="6">
        <v>262.22289846639706</v>
      </c>
      <c r="O726" s="6">
        <v>25.92725381550266</v>
      </c>
      <c r="P726" s="7">
        <v>5.3045246601367619</v>
      </c>
      <c r="Q726" s="7">
        <v>1.8998610814664527</v>
      </c>
      <c r="R726" s="67">
        <v>1.3909678313675415</v>
      </c>
      <c r="S726" s="7">
        <v>0.5168223586440136</v>
      </c>
      <c r="T726" s="171">
        <f t="shared" si="22"/>
        <v>0.98349608796699373</v>
      </c>
      <c r="U726" s="171">
        <f t="shared" si="23"/>
        <v>0.38702350038502431</v>
      </c>
    </row>
    <row r="727" spans="1:21" s="42" customFormat="1">
      <c r="A727" s="5">
        <v>1274</v>
      </c>
      <c r="B727" s="28">
        <v>20.756999999999898</v>
      </c>
      <c r="C727" s="5" t="s">
        <v>156</v>
      </c>
      <c r="D727" s="5">
        <v>128</v>
      </c>
      <c r="E727" s="5">
        <v>3</v>
      </c>
      <c r="F727" s="24">
        <v>50.593000000000004</v>
      </c>
      <c r="G727" s="24">
        <v>-144.44999999999999</v>
      </c>
      <c r="H727" s="5">
        <v>16</v>
      </c>
      <c r="I727" s="25">
        <v>43349.792361111111</v>
      </c>
      <c r="J727" s="26">
        <v>43349.792361111111</v>
      </c>
      <c r="K727" s="7">
        <v>2.2206045599999999</v>
      </c>
      <c r="L727" s="7">
        <v>1.4999257846028371</v>
      </c>
      <c r="M727" s="7">
        <v>6.0607836450808972E-2</v>
      </c>
      <c r="N727" s="6">
        <v>575.9218295860901</v>
      </c>
      <c r="O727" s="6">
        <v>36.989295281331884</v>
      </c>
      <c r="P727" s="7">
        <v>5.3045246601367619</v>
      </c>
      <c r="Q727" s="7">
        <v>1.8998610814664527</v>
      </c>
      <c r="R727" s="67">
        <v>3.0549915473504967</v>
      </c>
      <c r="S727" s="7">
        <v>1.1116248542929037</v>
      </c>
      <c r="T727" s="171">
        <f t="shared" si="22"/>
        <v>2.1600587503432602</v>
      </c>
      <c r="U727" s="171">
        <f t="shared" si="23"/>
        <v>0.83436797419841935</v>
      </c>
    </row>
    <row r="728" spans="1:21" s="42" customFormat="1">
      <c r="A728" s="5">
        <v>1273</v>
      </c>
      <c r="B728" s="28">
        <v>35.86</v>
      </c>
      <c r="C728" s="5" t="s">
        <v>156</v>
      </c>
      <c r="D728" s="5">
        <v>128</v>
      </c>
      <c r="E728" s="5">
        <v>3</v>
      </c>
      <c r="F728" s="24">
        <v>50.593000000000004</v>
      </c>
      <c r="G728" s="24">
        <v>-144.44999999999999</v>
      </c>
      <c r="H728" s="5">
        <v>15</v>
      </c>
      <c r="I728" s="25">
        <v>43349.792361111111</v>
      </c>
      <c r="J728" s="26">
        <v>43349.792361111111</v>
      </c>
      <c r="K728" s="7">
        <v>2.2369455</v>
      </c>
      <c r="L728" s="7">
        <v>1.3889998717670404</v>
      </c>
      <c r="M728" s="7">
        <v>6.2705124617423738E-2</v>
      </c>
      <c r="N728" s="6">
        <v>935.45813612491929</v>
      </c>
      <c r="O728" s="6">
        <v>45.553309780122802</v>
      </c>
      <c r="P728" s="7">
        <v>5.3045246601367619</v>
      </c>
      <c r="Q728" s="7">
        <v>1.8998610814664527</v>
      </c>
      <c r="R728" s="67">
        <v>4.962160751600206</v>
      </c>
      <c r="S728" s="7">
        <v>1.7935922213206201</v>
      </c>
      <c r="T728" s="171">
        <f t="shared" si="22"/>
        <v>3.5085395772697967</v>
      </c>
      <c r="U728" s="171">
        <f t="shared" si="23"/>
        <v>1.347258969663516</v>
      </c>
    </row>
    <row r="729" spans="1:21" s="42" customFormat="1">
      <c r="A729" s="5">
        <v>1272</v>
      </c>
      <c r="B729" s="28">
        <v>50.243000000000002</v>
      </c>
      <c r="C729" s="5" t="s">
        <v>156</v>
      </c>
      <c r="D729" s="5">
        <v>128</v>
      </c>
      <c r="E729" s="5">
        <v>3</v>
      </c>
      <c r="F729" s="24">
        <v>50.593000000000004</v>
      </c>
      <c r="G729" s="24">
        <v>-144.44999999999999</v>
      </c>
      <c r="H729" s="5">
        <v>14</v>
      </c>
      <c r="I729" s="25">
        <v>43349.792361111111</v>
      </c>
      <c r="J729" s="26">
        <v>43349.792361111111</v>
      </c>
      <c r="K729" s="7">
        <v>2.2377472200000001</v>
      </c>
      <c r="L729" s="7">
        <v>1.5270776245789297</v>
      </c>
      <c r="M729" s="7">
        <v>8.9613660455598668E-2</v>
      </c>
      <c r="N729" s="6">
        <v>1237.7181812147176</v>
      </c>
      <c r="O729" s="6">
        <v>59.395278075757908</v>
      </c>
      <c r="P729" s="7">
        <v>5.3045246601367619</v>
      </c>
      <c r="Q729" s="7">
        <v>1.8998610814664527</v>
      </c>
      <c r="R729" s="67">
        <v>6.5655066145530911</v>
      </c>
      <c r="S729" s="7">
        <v>2.3725055541896141</v>
      </c>
      <c r="T729" s="171">
        <f t="shared" si="22"/>
        <v>4.6421994278516028</v>
      </c>
      <c r="U729" s="171">
        <f t="shared" si="23"/>
        <v>1.7821636885818239</v>
      </c>
    </row>
    <row r="730" spans="1:21" s="42" customFormat="1">
      <c r="A730" s="5">
        <v>1259</v>
      </c>
      <c r="B730" s="28">
        <v>65.436999999999998</v>
      </c>
      <c r="C730" s="5" t="s">
        <v>156</v>
      </c>
      <c r="D730" s="5">
        <v>128</v>
      </c>
      <c r="E730" s="5">
        <v>3</v>
      </c>
      <c r="F730" s="24">
        <v>50.593000000000004</v>
      </c>
      <c r="G730" s="24">
        <v>-144.44999999999999</v>
      </c>
      <c r="H730" s="5">
        <v>13</v>
      </c>
      <c r="I730" s="25">
        <v>43349.792361111111</v>
      </c>
      <c r="J730" s="26">
        <v>43349.792361111111</v>
      </c>
      <c r="K730" s="7">
        <v>2.2413785399999999</v>
      </c>
      <c r="L730" s="7">
        <v>2.0913740123237696</v>
      </c>
      <c r="M730" s="7">
        <v>7.8487606529955525E-2</v>
      </c>
      <c r="N730" s="6">
        <v>1302.8960605175678</v>
      </c>
      <c r="O730" s="6">
        <v>68.489685426096699</v>
      </c>
      <c r="P730" s="67">
        <v>4.1661930999999992</v>
      </c>
      <c r="Q730" s="7">
        <v>1.2408038216707074</v>
      </c>
      <c r="R730" s="67">
        <v>5.428116577345472</v>
      </c>
      <c r="S730" s="7">
        <v>1.6416270538877651</v>
      </c>
      <c r="T730" s="171">
        <f t="shared" si="22"/>
        <v>3.8379977584380498</v>
      </c>
      <c r="U730" s="171">
        <f t="shared" si="23"/>
        <v>1.2628515699376068</v>
      </c>
    </row>
    <row r="731" spans="1:21" s="42" customFormat="1">
      <c r="A731" s="5">
        <v>1260</v>
      </c>
      <c r="B731" s="28">
        <v>80.459000000000003</v>
      </c>
      <c r="C731" s="5" t="s">
        <v>156</v>
      </c>
      <c r="D731" s="5">
        <v>128</v>
      </c>
      <c r="E731" s="5">
        <v>3</v>
      </c>
      <c r="F731" s="24">
        <v>50.593000000000004</v>
      </c>
      <c r="G731" s="24">
        <v>-144.44999999999999</v>
      </c>
      <c r="H731" s="5">
        <v>12</v>
      </c>
      <c r="I731" s="25">
        <v>43349.792361111111</v>
      </c>
      <c r="J731" s="26">
        <v>43349.792361111111</v>
      </c>
      <c r="K731" s="7">
        <v>2.2437286800000003</v>
      </c>
      <c r="L731" s="7">
        <v>1.8340152770287599</v>
      </c>
      <c r="M731" s="7">
        <v>7.9044971145514953E-2</v>
      </c>
      <c r="N731" s="6">
        <v>1479.7230143829124</v>
      </c>
      <c r="O731" s="6">
        <v>76.515717564910915</v>
      </c>
      <c r="P731" s="67">
        <v>3.0590716999999987</v>
      </c>
      <c r="Q731" s="7">
        <v>0.73144169125463687</v>
      </c>
      <c r="R731" s="67">
        <v>4.526578797137458</v>
      </c>
      <c r="S731" s="7">
        <v>1.1073518007679526</v>
      </c>
      <c r="T731" s="171">
        <f t="shared" si="22"/>
        <v>3.2005575100051988</v>
      </c>
      <c r="U731" s="171">
        <f t="shared" si="23"/>
        <v>0.88608698999236479</v>
      </c>
    </row>
    <row r="732" spans="1:21" s="42" customFormat="1">
      <c r="A732" s="5">
        <v>1261</v>
      </c>
      <c r="B732" s="28">
        <v>95.45</v>
      </c>
      <c r="C732" s="5" t="s">
        <v>156</v>
      </c>
      <c r="D732" s="5">
        <v>128</v>
      </c>
      <c r="E732" s="5">
        <v>3</v>
      </c>
      <c r="F732" s="24">
        <v>50.593000000000004</v>
      </c>
      <c r="G732" s="24">
        <v>-144.44999999999999</v>
      </c>
      <c r="H732" s="5">
        <v>11</v>
      </c>
      <c r="I732" s="25">
        <v>43349.792361111111</v>
      </c>
      <c r="J732" s="26">
        <v>43349.792361111111</v>
      </c>
      <c r="K732" s="7">
        <v>2.2506533399999999</v>
      </c>
      <c r="L732" s="7">
        <v>2.3083504927768086</v>
      </c>
      <c r="M732" s="7">
        <v>8.6339058726869561E-2</v>
      </c>
      <c r="N732" s="6">
        <v>1454.6963943256615</v>
      </c>
      <c r="O732" s="6">
        <v>85.189077268327836</v>
      </c>
      <c r="P732" s="67">
        <v>1.9542349999999988</v>
      </c>
      <c r="Q732" s="7">
        <v>0.35275104519824979</v>
      </c>
      <c r="R732" s="67">
        <v>2.8428186081650075</v>
      </c>
      <c r="S732" s="7">
        <v>0.5394755771534151</v>
      </c>
      <c r="T732" s="171">
        <f t="shared" si="22"/>
        <v>2.0100400001208123</v>
      </c>
      <c r="U732" s="171">
        <f t="shared" si="23"/>
        <v>0.46193547515132516</v>
      </c>
    </row>
    <row r="733" spans="1:21" s="42" customFormat="1">
      <c r="A733" s="5">
        <v>1262</v>
      </c>
      <c r="B733" s="28">
        <v>110.622999999999</v>
      </c>
      <c r="C733" s="5" t="s">
        <v>156</v>
      </c>
      <c r="D733" s="5">
        <v>128</v>
      </c>
      <c r="E733" s="5">
        <v>3</v>
      </c>
      <c r="F733" s="24">
        <v>50.593000000000004</v>
      </c>
      <c r="G733" s="24">
        <v>-144.44999999999999</v>
      </c>
      <c r="H733" s="5">
        <v>10</v>
      </c>
      <c r="I733" s="25">
        <v>43349.792361111111</v>
      </c>
      <c r="J733" s="26">
        <v>43349.792361111111</v>
      </c>
      <c r="K733" s="7">
        <v>2.2626712800000002</v>
      </c>
      <c r="L733" s="7">
        <v>2.3716087927050196</v>
      </c>
      <c r="M733" s="7">
        <v>9.2990854077969587E-2</v>
      </c>
      <c r="N733" s="6">
        <v>1408.0563517099383</v>
      </c>
      <c r="O733" s="6">
        <v>94.03313572346859</v>
      </c>
      <c r="P733" s="67">
        <v>1.5092077000000101</v>
      </c>
      <c r="Q733" s="7">
        <v>0.27594026239649766</v>
      </c>
      <c r="R733" s="67">
        <v>2.1250494880345614</v>
      </c>
      <c r="S733" s="7">
        <v>0.4136458801249252</v>
      </c>
      <c r="T733" s="171">
        <f t="shared" si="22"/>
        <v>1.5025350055460844</v>
      </c>
      <c r="U733" s="171">
        <f t="shared" si="23"/>
        <v>0.35138832462344632</v>
      </c>
    </row>
    <row r="734" spans="1:21" s="42" customFormat="1">
      <c r="A734" s="5">
        <v>1263</v>
      </c>
      <c r="B734" s="28">
        <v>125.223</v>
      </c>
      <c r="C734" s="5" t="s">
        <v>156</v>
      </c>
      <c r="D734" s="5">
        <v>128</v>
      </c>
      <c r="E734" s="5">
        <v>3</v>
      </c>
      <c r="F734" s="24">
        <v>50.593000000000004</v>
      </c>
      <c r="G734" s="24">
        <v>-144.44999999999999</v>
      </c>
      <c r="H734" s="5">
        <v>9</v>
      </c>
      <c r="I734" s="25">
        <v>43349.792361111111</v>
      </c>
      <c r="J734" s="26">
        <v>43349.792361111111</v>
      </c>
      <c r="K734" s="7">
        <v>2.2833195000000002</v>
      </c>
      <c r="L734" s="7">
        <v>2.4878463867725449</v>
      </c>
      <c r="M734" s="7">
        <v>9.0116322290870729E-2</v>
      </c>
      <c r="N734" s="6">
        <v>1306.9590960888136</v>
      </c>
      <c r="O734" s="6">
        <v>104.05012173180603</v>
      </c>
      <c r="P734" s="67">
        <v>1.3617477000000002</v>
      </c>
      <c r="Q734" s="7">
        <v>0.28669423248597875</v>
      </c>
      <c r="R734" s="67">
        <v>1.7797485430930213</v>
      </c>
      <c r="S734" s="7">
        <v>0.4005925332385063</v>
      </c>
      <c r="T734" s="171">
        <f t="shared" si="22"/>
        <v>1.2583869232806388</v>
      </c>
      <c r="U734" s="171">
        <f t="shared" si="23"/>
        <v>0.32685465826444998</v>
      </c>
    </row>
    <row r="735" spans="1:21" s="42" customFormat="1">
      <c r="A735" s="5">
        <v>1264</v>
      </c>
      <c r="B735" s="28">
        <v>144.99700000000001</v>
      </c>
      <c r="C735" s="5" t="s">
        <v>156</v>
      </c>
      <c r="D735" s="5">
        <v>128</v>
      </c>
      <c r="E735" s="5">
        <v>3</v>
      </c>
      <c r="F735" s="24">
        <v>50.593000000000004</v>
      </c>
      <c r="G735" s="24">
        <v>-144.44999999999999</v>
      </c>
      <c r="H735" s="5">
        <v>8</v>
      </c>
      <c r="I735" s="25">
        <v>43349.792361111111</v>
      </c>
      <c r="J735" s="26">
        <v>43349.792361111111</v>
      </c>
      <c r="K735" s="7">
        <v>2.31413856</v>
      </c>
      <c r="L735" s="7">
        <v>2.6110327090239518</v>
      </c>
      <c r="M735" s="7">
        <v>9.3207035442332678E-2</v>
      </c>
      <c r="N735" s="6">
        <v>1010.3895414379895</v>
      </c>
      <c r="O735" s="6">
        <v>139.62447304327085</v>
      </c>
      <c r="P735" s="67">
        <v>1.1620303000000001</v>
      </c>
      <c r="Q735" s="7">
        <v>0.28823616483086278</v>
      </c>
      <c r="R735" s="67">
        <v>1.1741032619540495</v>
      </c>
      <c r="S735" s="7">
        <v>0.33337629395173868</v>
      </c>
      <c r="T735" s="171">
        <f t="shared" si="22"/>
        <v>0.83016007916287737</v>
      </c>
      <c r="U735" s="171">
        <f t="shared" si="23"/>
        <v>0.25911805239742008</v>
      </c>
    </row>
    <row r="736" spans="1:21" s="42" customFormat="1">
      <c r="A736" s="5">
        <v>1265</v>
      </c>
      <c r="B736" s="28">
        <v>194.68799999999999</v>
      </c>
      <c r="C736" s="5" t="s">
        <v>156</v>
      </c>
      <c r="D736" s="5">
        <v>128</v>
      </c>
      <c r="E736" s="5">
        <v>3</v>
      </c>
      <c r="F736" s="24">
        <v>50.593000000000004</v>
      </c>
      <c r="G736" s="24">
        <v>-144.44999999999999</v>
      </c>
      <c r="H736" s="5">
        <v>7</v>
      </c>
      <c r="I736" s="25">
        <v>43349.792361111111</v>
      </c>
      <c r="J736" s="26">
        <v>43349.792361111111</v>
      </c>
      <c r="K736" s="7">
        <v>2.33422872</v>
      </c>
      <c r="L736" s="7">
        <v>2.3762326904907667</v>
      </c>
      <c r="M736" s="7">
        <v>8.953014175779854E-2</v>
      </c>
      <c r="N736" s="6">
        <v>964.7216208866339</v>
      </c>
      <c r="O736" s="6">
        <v>170.2058097935184</v>
      </c>
      <c r="P736" s="67">
        <v>1.0362616</v>
      </c>
      <c r="Q736" s="7">
        <v>8.2561432119654554E-2</v>
      </c>
      <c r="R736" s="67">
        <v>0.9997039704145767</v>
      </c>
      <c r="S736" s="7">
        <v>0.19352787906896537</v>
      </c>
      <c r="T736" s="171">
        <f t="shared" si="22"/>
        <v>0.70684952006486113</v>
      </c>
      <c r="U736" s="171">
        <f t="shared" si="23"/>
        <v>0.16467909167212488</v>
      </c>
    </row>
    <row r="737" spans="1:21" s="42" customFormat="1">
      <c r="A737" s="5">
        <v>1266</v>
      </c>
      <c r="B737" s="28">
        <v>220.60400000000001</v>
      </c>
      <c r="C737" s="5" t="s">
        <v>156</v>
      </c>
      <c r="D737" s="5">
        <v>128</v>
      </c>
      <c r="E737" s="5">
        <v>3</v>
      </c>
      <c r="F737" s="24">
        <v>50.593000000000004</v>
      </c>
      <c r="G737" s="24">
        <v>-144.44999999999999</v>
      </c>
      <c r="H737" s="5">
        <v>6</v>
      </c>
      <c r="I737" s="25">
        <v>43349.792361111111</v>
      </c>
      <c r="J737" s="26">
        <v>43349.792361111111</v>
      </c>
      <c r="K737" s="7">
        <v>2.3375535000000003</v>
      </c>
      <c r="L737" s="7">
        <v>2.280297430856141</v>
      </c>
      <c r="M737" s="7">
        <v>9.8203661413927959E-2</v>
      </c>
      <c r="N737" s="6">
        <v>1010.8271415622515</v>
      </c>
      <c r="O737" s="6">
        <v>187.67910338797995</v>
      </c>
      <c r="P737" s="67">
        <v>1.0068771999999999</v>
      </c>
      <c r="Q737" s="7">
        <v>7.4947633361092822E-2</v>
      </c>
      <c r="R737" s="67">
        <v>1.0177788019802034</v>
      </c>
      <c r="S737" s="7">
        <v>0.20359035014309221</v>
      </c>
      <c r="T737" s="171">
        <f t="shared" si="22"/>
        <v>0.71962948933128124</v>
      </c>
      <c r="U737" s="171">
        <f t="shared" si="23"/>
        <v>0.17153205618824324</v>
      </c>
    </row>
    <row r="738" spans="1:21" s="42" customFormat="1">
      <c r="A738" s="5">
        <v>1267</v>
      </c>
      <c r="B738" s="28">
        <v>250.68599999999901</v>
      </c>
      <c r="C738" s="5" t="s">
        <v>156</v>
      </c>
      <c r="D738" s="5">
        <v>128</v>
      </c>
      <c r="E738" s="5">
        <v>3</v>
      </c>
      <c r="F738" s="24">
        <v>50.593000000000004</v>
      </c>
      <c r="G738" s="24">
        <v>-144.44999999999999</v>
      </c>
      <c r="H738" s="5">
        <v>5</v>
      </c>
      <c r="I738" s="25">
        <v>43349.792361111111</v>
      </c>
      <c r="J738" s="26">
        <v>43349.792361111111</v>
      </c>
      <c r="K738" s="7">
        <v>2.3408311200000003</v>
      </c>
      <c r="L738" s="7">
        <v>2.3936136536842856</v>
      </c>
      <c r="M738" s="7">
        <v>0.10203687067467311</v>
      </c>
      <c r="N738" s="6">
        <v>969.15202386494821</v>
      </c>
      <c r="O738" s="6">
        <v>204.24026291762297</v>
      </c>
      <c r="P738" s="67">
        <v>0.98581980000000069</v>
      </c>
      <c r="Q738" s="7">
        <v>9.6541102332166118E-2</v>
      </c>
      <c r="R738" s="67">
        <v>0.9554092543361391</v>
      </c>
      <c r="S738" s="7">
        <v>0.22202135144829827</v>
      </c>
      <c r="T738" s="171">
        <f t="shared" si="22"/>
        <v>0.67553054992166084</v>
      </c>
      <c r="U738" s="171">
        <f t="shared" si="23"/>
        <v>0.17975303528280412</v>
      </c>
    </row>
    <row r="739" spans="1:21" s="42" customFormat="1">
      <c r="A739" s="5">
        <v>1268</v>
      </c>
      <c r="B739" s="28">
        <v>275.510999999999</v>
      </c>
      <c r="C739" s="5" t="s">
        <v>156</v>
      </c>
      <c r="D739" s="5">
        <v>128</v>
      </c>
      <c r="E739" s="5">
        <v>3</v>
      </c>
      <c r="F739" s="24">
        <v>50.593000000000004</v>
      </c>
      <c r="G739" s="24">
        <v>-144.44999999999999</v>
      </c>
      <c r="H739" s="5">
        <v>4</v>
      </c>
      <c r="I739" s="25">
        <v>43349.792361111111</v>
      </c>
      <c r="J739" s="26">
        <v>43349.792361111111</v>
      </c>
      <c r="K739" s="7">
        <v>2.3448082800000001</v>
      </c>
      <c r="L739" s="7">
        <v>2.3497524370206992</v>
      </c>
      <c r="M739" s="7">
        <v>8.5447518960703572E-2</v>
      </c>
      <c r="N739" s="6">
        <v>965.5877190689971</v>
      </c>
      <c r="O739" s="6">
        <v>213.32760756581044</v>
      </c>
      <c r="P739" s="67">
        <v>0.96844230000000064</v>
      </c>
      <c r="Q739" s="7">
        <v>0.11361580187964863</v>
      </c>
      <c r="R739" s="67">
        <v>0.93511599150693403</v>
      </c>
      <c r="S739" s="7">
        <v>0.23391687282390874</v>
      </c>
      <c r="T739" s="171">
        <f t="shared" si="22"/>
        <v>0.6611820192406983</v>
      </c>
      <c r="U739" s="171">
        <f t="shared" si="23"/>
        <v>0.18628023105233354</v>
      </c>
    </row>
    <row r="740" spans="1:21" s="42" customFormat="1">
      <c r="A740" s="5">
        <v>1269</v>
      </c>
      <c r="B740" s="28">
        <v>300.81900000000002</v>
      </c>
      <c r="C740" s="5" t="s">
        <v>156</v>
      </c>
      <c r="D740" s="5">
        <v>128</v>
      </c>
      <c r="E740" s="5">
        <v>3</v>
      </c>
      <c r="F740" s="24">
        <v>50.593000000000004</v>
      </c>
      <c r="G740" s="24">
        <v>-144.44999999999999</v>
      </c>
      <c r="H740" s="5">
        <v>3</v>
      </c>
      <c r="I740" s="25">
        <v>43349.792361111111</v>
      </c>
      <c r="J740" s="26">
        <v>43349.792361111111</v>
      </c>
      <c r="K740" s="7">
        <v>2.3469933600000004</v>
      </c>
      <c r="L740" s="7">
        <v>2.144438261133911</v>
      </c>
      <c r="M740" s="7">
        <v>8.5390067483804857E-2</v>
      </c>
      <c r="N740" s="6">
        <v>1126.7788791515663</v>
      </c>
      <c r="O740" s="6">
        <v>223.88883295372526</v>
      </c>
      <c r="P740" s="67">
        <v>0.95072669999999992</v>
      </c>
      <c r="Q740" s="7">
        <v>0.13032907573046129</v>
      </c>
      <c r="R740" s="67">
        <v>1.0712587654054673</v>
      </c>
      <c r="S740" s="7">
        <v>0.25859943131675295</v>
      </c>
      <c r="T740" s="171">
        <f t="shared" si="22"/>
        <v>0.75744296972043834</v>
      </c>
      <c r="U740" s="171">
        <f t="shared" si="23"/>
        <v>0.20753872792300446</v>
      </c>
    </row>
    <row r="741" spans="1:21" s="42" customFormat="1">
      <c r="A741" s="5">
        <v>1270</v>
      </c>
      <c r="B741" s="28">
        <v>330.851</v>
      </c>
      <c r="C741" s="5" t="s">
        <v>156</v>
      </c>
      <c r="D741" s="5">
        <v>128</v>
      </c>
      <c r="E741" s="5">
        <v>3</v>
      </c>
      <c r="F741" s="24">
        <v>50.593000000000004</v>
      </c>
      <c r="G741" s="24">
        <v>-144.44999999999999</v>
      </c>
      <c r="H741" s="5">
        <v>2</v>
      </c>
      <c r="I741" s="25">
        <v>43349.792361111111</v>
      </c>
      <c r="J741" s="26">
        <v>43349.792361111111</v>
      </c>
      <c r="K741" s="7">
        <v>2.3498622600000001</v>
      </c>
      <c r="L741" s="7">
        <v>2.3972666624205923</v>
      </c>
      <c r="M741" s="7">
        <v>8.8454952288291117E-2</v>
      </c>
      <c r="N741" s="6">
        <v>991.11254126592212</v>
      </c>
      <c r="O741" s="6">
        <v>337.95034767810085</v>
      </c>
      <c r="P741" s="67">
        <v>0.92965960000000003</v>
      </c>
      <c r="Q741" s="7">
        <v>0.14894352653467163</v>
      </c>
      <c r="R741" s="67">
        <v>0.92139728866826065</v>
      </c>
      <c r="S741" s="7">
        <v>0.34713097450848418</v>
      </c>
      <c r="T741" s="171">
        <f t="shared" si="22"/>
        <v>0.65148208925701789</v>
      </c>
      <c r="U741" s="171">
        <f t="shared" si="23"/>
        <v>0.25956371966196617</v>
      </c>
    </row>
    <row r="742" spans="1:21" s="42" customFormat="1">
      <c r="A742" s="5">
        <v>1271</v>
      </c>
      <c r="B742" s="28">
        <v>499.83800000000002</v>
      </c>
      <c r="C742" s="5" t="s">
        <v>156</v>
      </c>
      <c r="D742" s="5">
        <v>128</v>
      </c>
      <c r="E742" s="5">
        <v>3</v>
      </c>
      <c r="F742" s="24">
        <v>50.593000000000004</v>
      </c>
      <c r="G742" s="24">
        <v>-144.44999999999999</v>
      </c>
      <c r="H742" s="5">
        <v>1</v>
      </c>
      <c r="I742" s="25">
        <v>43349.792361111111</v>
      </c>
      <c r="J742" s="26">
        <v>43349.792361111111</v>
      </c>
      <c r="K742" s="7">
        <v>2.3649849000000001</v>
      </c>
      <c r="L742" s="7">
        <v>2.1289953665413597</v>
      </c>
      <c r="M742" s="7">
        <v>7.8310633357588311E-2</v>
      </c>
      <c r="N742" s="6">
        <v>1564.5749093843935</v>
      </c>
      <c r="O742" s="6">
        <v>387.84474806601582</v>
      </c>
      <c r="P742" s="68">
        <v>0.87680272990205399</v>
      </c>
      <c r="Q742" s="7">
        <v>0.15828163628098546</v>
      </c>
      <c r="R742" s="67">
        <v>1.371823551684495</v>
      </c>
      <c r="S742" s="7">
        <v>0.42067845514583618</v>
      </c>
      <c r="T742" s="171">
        <f t="shared" si="22"/>
        <v>0.96995995596550022</v>
      </c>
      <c r="U742" s="171">
        <f t="shared" si="23"/>
        <v>0.32292647434956767</v>
      </c>
    </row>
    <row r="743" spans="1:21" s="42" customFormat="1">
      <c r="A743" s="5">
        <v>1276</v>
      </c>
      <c r="B743" s="28">
        <v>5.8579999999999997</v>
      </c>
      <c r="C743" s="5" t="s">
        <v>139</v>
      </c>
      <c r="D743" s="5">
        <v>140</v>
      </c>
      <c r="E743" s="5">
        <v>3</v>
      </c>
      <c r="F743" s="24">
        <v>50.593000000000004</v>
      </c>
      <c r="G743" s="24">
        <v>-145.291</v>
      </c>
      <c r="H743" s="5">
        <v>24</v>
      </c>
      <c r="I743" s="25">
        <v>43351.620138888888</v>
      </c>
      <c r="J743" s="26">
        <v>43351.620138888888</v>
      </c>
      <c r="K743" s="7">
        <v>2.2222630200000002</v>
      </c>
      <c r="L743" s="7">
        <v>1.5298873504035828</v>
      </c>
      <c r="M743" s="7">
        <v>8.5581357115029136E-2</v>
      </c>
      <c r="N743" s="6">
        <v>317.45860647667496</v>
      </c>
      <c r="O743" s="6">
        <v>39.239591399790562</v>
      </c>
      <c r="P743" s="7">
        <v>5.3045246601367619</v>
      </c>
      <c r="Q743" s="7">
        <v>1.8998610814664527</v>
      </c>
      <c r="R743" s="67">
        <v>1.6839670066281742</v>
      </c>
      <c r="S743" s="7">
        <v>0.63803433552247912</v>
      </c>
      <c r="T743" s="171">
        <f t="shared" si="22"/>
        <v>1.1906637421341484</v>
      </c>
      <c r="U743" s="171">
        <f t="shared" si="23"/>
        <v>0.4767988188071644</v>
      </c>
    </row>
    <row r="744" spans="1:21" s="42" customFormat="1">
      <c r="A744" s="5">
        <v>1277</v>
      </c>
      <c r="B744" s="28">
        <v>26.026999999999902</v>
      </c>
      <c r="C744" s="5" t="s">
        <v>139</v>
      </c>
      <c r="D744" s="5">
        <v>140</v>
      </c>
      <c r="E744" s="5">
        <v>3</v>
      </c>
      <c r="F744" s="24">
        <v>50.593000000000004</v>
      </c>
      <c r="G744" s="24">
        <v>-145.291</v>
      </c>
      <c r="H744" s="5">
        <v>20</v>
      </c>
      <c r="I744" s="25">
        <v>43351.620138888888</v>
      </c>
      <c r="J744" s="26">
        <v>43351.620138888888</v>
      </c>
      <c r="K744" s="7">
        <v>2.2222315799999999</v>
      </c>
      <c r="L744" s="7">
        <v>1.5994015916482458</v>
      </c>
      <c r="M744" s="7">
        <v>8.7373674155928671E-2</v>
      </c>
      <c r="N744" s="6">
        <v>558.58894302122451</v>
      </c>
      <c r="O744" s="6">
        <v>51.80741816580769</v>
      </c>
      <c r="P744" s="7">
        <v>5.3045246601367619</v>
      </c>
      <c r="Q744" s="7">
        <v>1.8998610814664527</v>
      </c>
      <c r="R744" s="67">
        <v>2.9630488231358139</v>
      </c>
      <c r="S744" s="7">
        <v>1.0962462678200124</v>
      </c>
      <c r="T744" s="171">
        <f t="shared" si="22"/>
        <v>2.0950498352964857</v>
      </c>
      <c r="U744" s="171">
        <f t="shared" si="23"/>
        <v>0.82130828307537529</v>
      </c>
    </row>
    <row r="745" spans="1:21" s="42" customFormat="1">
      <c r="A745" s="5">
        <v>1278</v>
      </c>
      <c r="B745" s="28">
        <v>32.780999999999999</v>
      </c>
      <c r="C745" s="5" t="s">
        <v>139</v>
      </c>
      <c r="D745" s="5">
        <v>140</v>
      </c>
      <c r="E745" s="5">
        <v>3</v>
      </c>
      <c r="F745" s="24">
        <v>50.593000000000004</v>
      </c>
      <c r="G745" s="24">
        <v>-145.291</v>
      </c>
      <c r="H745" s="5">
        <v>17</v>
      </c>
      <c r="I745" s="25">
        <v>43351.620138888888</v>
      </c>
      <c r="J745" s="26">
        <v>43351.620138888888</v>
      </c>
      <c r="K745" s="7">
        <v>2.2378100999999999</v>
      </c>
      <c r="L745" s="7">
        <v>1.394106402118211</v>
      </c>
      <c r="M745" s="7">
        <v>8.6296866575632403E-2</v>
      </c>
      <c r="N745" s="6">
        <v>850.03487733605061</v>
      </c>
      <c r="O745" s="6">
        <v>59.771641908950095</v>
      </c>
      <c r="P745" s="7">
        <v>5.3045246601367619</v>
      </c>
      <c r="Q745" s="7">
        <v>1.8998610814664527</v>
      </c>
      <c r="R745" s="67">
        <v>4.5090309688054075</v>
      </c>
      <c r="S745" s="7">
        <v>1.6457778605173157</v>
      </c>
      <c r="T745" s="171">
        <f t="shared" si="22"/>
        <v>3.1881501630287268</v>
      </c>
      <c r="U745" s="171">
        <f t="shared" si="23"/>
        <v>1.2348668416730206</v>
      </c>
    </row>
    <row r="746" spans="1:21" s="42" customFormat="1">
      <c r="A746" s="5">
        <v>1279</v>
      </c>
      <c r="B746" s="28">
        <v>50.048999999999999</v>
      </c>
      <c r="C746" s="5" t="s">
        <v>139</v>
      </c>
      <c r="D746" s="5">
        <v>140</v>
      </c>
      <c r="E746" s="5">
        <v>3</v>
      </c>
      <c r="F746" s="24">
        <v>50.593000000000004</v>
      </c>
      <c r="G746" s="24">
        <v>-145.291</v>
      </c>
      <c r="H746" s="5">
        <v>14</v>
      </c>
      <c r="I746" s="25">
        <v>43351.620138888888</v>
      </c>
      <c r="J746" s="26">
        <v>43351.620138888888</v>
      </c>
      <c r="K746" s="7">
        <v>2.24199948</v>
      </c>
      <c r="L746" s="7">
        <v>1.7984953575015135</v>
      </c>
      <c r="M746" s="7">
        <v>9.7150613885047379E-2</v>
      </c>
      <c r="N746" s="6">
        <v>1123.8247851920578</v>
      </c>
      <c r="O746" s="6">
        <v>84.673302107724311</v>
      </c>
      <c r="P746" s="7">
        <v>5.3045246601367619</v>
      </c>
      <c r="Q746" s="7">
        <v>1.8998610814664527</v>
      </c>
      <c r="R746" s="67">
        <v>5.9613562867241701</v>
      </c>
      <c r="S746" s="7">
        <v>2.1818423496476664</v>
      </c>
      <c r="T746" s="171">
        <f t="shared" si="22"/>
        <v>4.215029603672745</v>
      </c>
      <c r="U746" s="171">
        <f t="shared" si="23"/>
        <v>1.6365877374398416</v>
      </c>
    </row>
    <row r="747" spans="1:21" s="42" customFormat="1">
      <c r="A747" s="5">
        <v>1280</v>
      </c>
      <c r="B747" s="28">
        <v>75.710999999999999</v>
      </c>
      <c r="C747" s="5" t="s">
        <v>139</v>
      </c>
      <c r="D747" s="5">
        <v>140</v>
      </c>
      <c r="E747" s="5">
        <v>3</v>
      </c>
      <c r="F747" s="24">
        <v>50.593000000000004</v>
      </c>
      <c r="G747" s="24">
        <v>-145.291</v>
      </c>
      <c r="H747" s="5">
        <v>11</v>
      </c>
      <c r="I747" s="25">
        <v>43351.620138888888</v>
      </c>
      <c r="J747" s="26">
        <v>43351.620138888888</v>
      </c>
      <c r="K747" s="7">
        <v>2.2469434200000005</v>
      </c>
      <c r="L747" s="7">
        <v>2.2828280649138</v>
      </c>
      <c r="M747" s="7">
        <v>0.1314989417698223</v>
      </c>
      <c r="N747" s="6">
        <v>1100.3881346093046</v>
      </c>
      <c r="O747" s="6">
        <v>120.60482491097898</v>
      </c>
      <c r="P747" s="67">
        <v>3.4089992999999996</v>
      </c>
      <c r="Q747" s="7">
        <v>0.87838219434300913</v>
      </c>
      <c r="R747" s="67">
        <v>3.7512223806114249</v>
      </c>
      <c r="S747" s="7">
        <v>1.0503705927745857</v>
      </c>
      <c r="T747" s="171">
        <f t="shared" si="22"/>
        <v>2.652334908995265</v>
      </c>
      <c r="U747" s="171">
        <f t="shared" si="23"/>
        <v>0.81839425260637055</v>
      </c>
    </row>
    <row r="748" spans="1:21" s="42" customFormat="1">
      <c r="A748" s="5">
        <v>1281</v>
      </c>
      <c r="B748" s="28">
        <v>95.466999999999999</v>
      </c>
      <c r="C748" s="5" t="s">
        <v>139</v>
      </c>
      <c r="D748" s="5">
        <v>140</v>
      </c>
      <c r="E748" s="5">
        <v>3</v>
      </c>
      <c r="F748" s="24">
        <v>50.593000000000004</v>
      </c>
      <c r="G748" s="24">
        <v>-145.291</v>
      </c>
      <c r="H748" s="5">
        <v>10</v>
      </c>
      <c r="I748" s="25">
        <v>43351.620138888888</v>
      </c>
      <c r="J748" s="26">
        <v>43351.620138888888</v>
      </c>
      <c r="K748" s="7">
        <v>2.2583561400000001</v>
      </c>
      <c r="L748" s="7">
        <v>2.2854065917732678</v>
      </c>
      <c r="M748" s="7">
        <v>0.11761091238876288</v>
      </c>
      <c r="N748" s="6">
        <v>1086.754970927987</v>
      </c>
      <c r="O748" s="6">
        <v>134.38385324099443</v>
      </c>
      <c r="P748" s="67">
        <v>1.9529820999999989</v>
      </c>
      <c r="Q748" s="7">
        <v>0.35239510777400346</v>
      </c>
      <c r="R748" s="67">
        <v>2.1224130053083776</v>
      </c>
      <c r="S748" s="7">
        <v>0.46426656200555955</v>
      </c>
      <c r="T748" s="171">
        <f t="shared" si="22"/>
        <v>1.5006708571533462</v>
      </c>
      <c r="U748" s="171">
        <f t="shared" si="23"/>
        <v>0.38157166555252359</v>
      </c>
    </row>
    <row r="749" spans="1:21" s="42" customFormat="1">
      <c r="A749" s="5">
        <v>1282</v>
      </c>
      <c r="B749" s="28">
        <v>110.759</v>
      </c>
      <c r="C749" s="5" t="s">
        <v>139</v>
      </c>
      <c r="D749" s="5">
        <v>140</v>
      </c>
      <c r="E749" s="5">
        <v>3</v>
      </c>
      <c r="F749" s="24">
        <v>50.593000000000004</v>
      </c>
      <c r="G749" s="24">
        <v>-145.291</v>
      </c>
      <c r="H749" s="5">
        <v>7</v>
      </c>
      <c r="I749" s="25">
        <v>43351.620138888888</v>
      </c>
      <c r="J749" s="26">
        <v>43351.620138888888</v>
      </c>
      <c r="K749" s="7">
        <v>2.2847657400000001</v>
      </c>
      <c r="L749" s="7">
        <v>2.6612938607613308</v>
      </c>
      <c r="M749" s="7">
        <v>0.12996593302901741</v>
      </c>
      <c r="N749" s="6">
        <v>924.04460143835047</v>
      </c>
      <c r="O749" s="6">
        <v>145.64772454127404</v>
      </c>
      <c r="P749" s="67">
        <v>1.5078341000000002</v>
      </c>
      <c r="Q749" s="7">
        <v>0.27607812548696437</v>
      </c>
      <c r="R749" s="67">
        <v>1.393305959969654</v>
      </c>
      <c r="S749" s="7">
        <v>0.33661557311465395</v>
      </c>
      <c r="T749" s="171">
        <f t="shared" si="22"/>
        <v>0.98514928244172184</v>
      </c>
      <c r="U749" s="171">
        <f t="shared" si="23"/>
        <v>0.27010118620715168</v>
      </c>
    </row>
    <row r="750" spans="1:21" s="42" customFormat="1">
      <c r="A750" s="5">
        <v>1283</v>
      </c>
      <c r="B750" s="28">
        <v>125.51799999999901</v>
      </c>
      <c r="C750" s="5" t="s">
        <v>139</v>
      </c>
      <c r="D750" s="5">
        <v>140</v>
      </c>
      <c r="E750" s="5">
        <v>3</v>
      </c>
      <c r="F750" s="24">
        <v>50.593000000000004</v>
      </c>
      <c r="G750" s="24">
        <v>-145.291</v>
      </c>
      <c r="H750" s="5">
        <v>6</v>
      </c>
      <c r="I750" s="25">
        <v>43351.620138888888</v>
      </c>
      <c r="J750" s="26">
        <v>43351.620138888888</v>
      </c>
      <c r="K750" s="7">
        <v>2.3086680000000004</v>
      </c>
      <c r="L750" s="7">
        <v>2.5891730050130848</v>
      </c>
      <c r="M750" s="7">
        <v>0.12855580349878057</v>
      </c>
      <c r="N750" s="6">
        <v>763.52098959713021</v>
      </c>
      <c r="O750" s="6">
        <v>163.17333223750822</v>
      </c>
      <c r="P750" s="67">
        <v>1.3587682000000101</v>
      </c>
      <c r="Q750" s="7">
        <v>0.28682733340685679</v>
      </c>
      <c r="R750" s="67">
        <v>1.0374480406971189</v>
      </c>
      <c r="S750" s="7">
        <v>0.31163736885253157</v>
      </c>
      <c r="T750" s="171">
        <f t="shared" si="22"/>
        <v>0.73353679825326867</v>
      </c>
      <c r="U750" s="171">
        <f t="shared" si="23"/>
        <v>0.2399863676562059</v>
      </c>
    </row>
    <row r="751" spans="1:21" s="42" customFormat="1">
      <c r="A751" s="5">
        <v>1284</v>
      </c>
      <c r="B751" s="28">
        <v>150.55500000000001</v>
      </c>
      <c r="C751" s="5" t="s">
        <v>139</v>
      </c>
      <c r="D751" s="5">
        <v>140</v>
      </c>
      <c r="E751" s="5">
        <v>3</v>
      </c>
      <c r="F751" s="24">
        <v>50.593000000000004</v>
      </c>
      <c r="G751" s="24">
        <v>-145.291</v>
      </c>
      <c r="H751" s="5">
        <v>5</v>
      </c>
      <c r="I751" s="25">
        <v>43351.620138888888</v>
      </c>
      <c r="J751" s="26">
        <v>43351.620138888888</v>
      </c>
      <c r="K751" s="7">
        <v>2.3263687200000005</v>
      </c>
      <c r="L751" s="7">
        <v>2.2522273993255131</v>
      </c>
      <c r="M751" s="7">
        <v>0.11541562408737525</v>
      </c>
      <c r="N751" s="6">
        <v>838.13351840081691</v>
      </c>
      <c r="O751" s="6">
        <v>200.29019453555617</v>
      </c>
      <c r="P751" s="67">
        <v>1.1157010000000001</v>
      </c>
      <c r="Q751" s="7">
        <v>0.28496118125299003</v>
      </c>
      <c r="R751" s="67">
        <v>0.93510640461330996</v>
      </c>
      <c r="S751" s="7">
        <v>0.32707575641341963</v>
      </c>
      <c r="T751" s="171">
        <f t="shared" si="22"/>
        <v>0.66117524074290535</v>
      </c>
      <c r="U751" s="171">
        <f t="shared" si="23"/>
        <v>0.24663202047184252</v>
      </c>
    </row>
    <row r="752" spans="1:21" s="42" customFormat="1">
      <c r="A752" s="5">
        <v>1285</v>
      </c>
      <c r="B752" s="28">
        <v>195.50099999999901</v>
      </c>
      <c r="C752" s="5" t="s">
        <v>139</v>
      </c>
      <c r="D752" s="5">
        <v>140</v>
      </c>
      <c r="E752" s="5">
        <v>3</v>
      </c>
      <c r="F752" s="24">
        <v>50.593000000000004</v>
      </c>
      <c r="G752" s="24">
        <v>-145.291</v>
      </c>
      <c r="H752" s="5">
        <v>3</v>
      </c>
      <c r="I752" s="25">
        <v>43351.620138888888</v>
      </c>
      <c r="J752" s="26">
        <v>43351.620138888888</v>
      </c>
      <c r="K752" s="7">
        <v>2.3344016400000003</v>
      </c>
      <c r="L752" s="7">
        <v>2.6252402255396561</v>
      </c>
      <c r="M752" s="7">
        <v>0.12708236406859091</v>
      </c>
      <c r="N752" s="6">
        <v>84.774865420448918</v>
      </c>
      <c r="O752" s="6">
        <v>385.32639872712832</v>
      </c>
      <c r="P752" s="67">
        <v>1.0347982000000018</v>
      </c>
      <c r="Q752" s="7">
        <v>7.9094819043371803E-2</v>
      </c>
      <c r="R752" s="67">
        <v>8.7724878142322937E-2</v>
      </c>
      <c r="S752" s="7">
        <v>0.39879143863524441</v>
      </c>
      <c r="T752" s="171">
        <f t="shared" si="22"/>
        <v>6.2026649736055955E-2</v>
      </c>
      <c r="U752" s="171">
        <f t="shared" si="23"/>
        <v>0.28208361627662421</v>
      </c>
    </row>
    <row r="753" spans="1:21" s="42" customFormat="1">
      <c r="A753" s="5">
        <v>1286</v>
      </c>
      <c r="B753" s="28">
        <v>330.68699999999899</v>
      </c>
      <c r="C753" s="5" t="s">
        <v>139</v>
      </c>
      <c r="D753" s="5">
        <v>140</v>
      </c>
      <c r="E753" s="5">
        <v>3</v>
      </c>
      <c r="F753" s="24">
        <v>50.593000000000004</v>
      </c>
      <c r="G753" s="24">
        <v>-145.291</v>
      </c>
      <c r="H753" s="5">
        <v>2</v>
      </c>
      <c r="I753" s="25">
        <v>43351.620138888888</v>
      </c>
      <c r="J753" s="26">
        <v>43351.620138888888</v>
      </c>
      <c r="K753" s="7">
        <v>2.3495478600000004</v>
      </c>
      <c r="L753" s="7">
        <v>2.4671816755824905</v>
      </c>
      <c r="M753" s="7">
        <v>0.12410483250165952</v>
      </c>
      <c r="N753" s="6">
        <v>-143.90229358369999</v>
      </c>
      <c r="O753" s="6">
        <v>454.62204710489567</v>
      </c>
      <c r="P753" s="67">
        <v>0.92972520000000047</v>
      </c>
      <c r="Q753" s="7">
        <v>0.14893558703870036</v>
      </c>
      <c r="R753" s="67">
        <v>-0.13378958868256424</v>
      </c>
      <c r="S753" s="7">
        <v>-0.42321659690901597</v>
      </c>
      <c r="T753" s="171">
        <f t="shared" si="22"/>
        <v>-9.4597110093228853E-2</v>
      </c>
      <c r="U753" s="171">
        <f t="shared" si="23"/>
        <v>-0.29949016490859498</v>
      </c>
    </row>
    <row r="754" spans="1:21" s="42" customFormat="1">
      <c r="A754" s="5">
        <v>1292</v>
      </c>
      <c r="B754" s="28">
        <v>5.6289999999999996</v>
      </c>
      <c r="C754" s="5" t="s">
        <v>142</v>
      </c>
      <c r="D754" s="5">
        <v>141</v>
      </c>
      <c r="E754" s="5">
        <v>3</v>
      </c>
      <c r="F754" s="24">
        <v>50.323</v>
      </c>
      <c r="G754" s="24">
        <v>-144.869</v>
      </c>
      <c r="H754" s="5">
        <v>12</v>
      </c>
      <c r="I754" s="25">
        <v>43351.799305555556</v>
      </c>
      <c r="J754" s="26">
        <v>43351.799305555556</v>
      </c>
      <c r="K754" s="7">
        <v>2.2214691600000003</v>
      </c>
      <c r="L754" s="7">
        <v>1.5288462180633071</v>
      </c>
      <c r="M754" s="7">
        <v>7.5211282758422898E-2</v>
      </c>
      <c r="N754" s="6">
        <v>208.1025247081073</v>
      </c>
      <c r="O754" s="6">
        <v>22.597660113305537</v>
      </c>
      <c r="P754" s="7">
        <v>5.3045246601367619</v>
      </c>
      <c r="Q754" s="7">
        <v>1.8998610814664527</v>
      </c>
      <c r="R754" s="67">
        <v>1.1038849741508749</v>
      </c>
      <c r="S754" s="7">
        <v>0.41313794903831497</v>
      </c>
      <c r="T754" s="171">
        <f t="shared" si="22"/>
        <v>0.78051161871626429</v>
      </c>
      <c r="U754" s="171">
        <f t="shared" si="23"/>
        <v>0.30913761964758779</v>
      </c>
    </row>
    <row r="755" spans="1:21" s="42" customFormat="1">
      <c r="A755" s="5">
        <v>1293</v>
      </c>
      <c r="B755" s="28">
        <v>15.265000000000001</v>
      </c>
      <c r="C755" s="5" t="s">
        <v>142</v>
      </c>
      <c r="D755" s="5">
        <v>141</v>
      </c>
      <c r="E755" s="5">
        <v>3</v>
      </c>
      <c r="F755" s="24">
        <v>50.323</v>
      </c>
      <c r="G755" s="24">
        <v>-144.869</v>
      </c>
      <c r="H755" s="5">
        <v>11</v>
      </c>
      <c r="I755" s="25">
        <v>43351.799305555556</v>
      </c>
      <c r="J755" s="26">
        <v>43351.799305555556</v>
      </c>
      <c r="K755" s="7">
        <v>2.2214534400000003</v>
      </c>
      <c r="L755" s="7">
        <v>1.5005939312213541</v>
      </c>
      <c r="M755" s="7">
        <v>7.4959164692747673E-2</v>
      </c>
      <c r="N755" s="6">
        <v>411.07838230336273</v>
      </c>
      <c r="O755" s="6">
        <v>30.921565957476481</v>
      </c>
      <c r="P755" s="7">
        <v>5.3045246601367619</v>
      </c>
      <c r="Q755" s="7">
        <v>1.8998610814664527</v>
      </c>
      <c r="R755" s="67">
        <v>2.1805754161773154</v>
      </c>
      <c r="S755" s="7">
        <v>0.79803017740456572</v>
      </c>
      <c r="T755" s="171">
        <f t="shared" si="22"/>
        <v>1.5417951033554242</v>
      </c>
      <c r="U755" s="171">
        <f t="shared" si="23"/>
        <v>0.59860259259356552</v>
      </c>
    </row>
    <row r="756" spans="1:21" s="42" customFormat="1">
      <c r="A756" s="5">
        <v>1294</v>
      </c>
      <c r="B756" s="28">
        <v>25.21</v>
      </c>
      <c r="C756" s="5" t="s">
        <v>142</v>
      </c>
      <c r="D756" s="5">
        <v>141</v>
      </c>
      <c r="E756" s="5">
        <v>3</v>
      </c>
      <c r="F756" s="24">
        <v>50.323</v>
      </c>
      <c r="G756" s="24">
        <v>-144.869</v>
      </c>
      <c r="H756" s="5">
        <v>10</v>
      </c>
      <c r="I756" s="25">
        <v>43351.799305555556</v>
      </c>
      <c r="J756" s="26">
        <v>43351.799305555556</v>
      </c>
      <c r="K756" s="7">
        <v>2.2214220000000005</v>
      </c>
      <c r="L756" s="7">
        <v>1.6161671903056414</v>
      </c>
      <c r="M756" s="7">
        <v>7.2925763449050274E-2</v>
      </c>
      <c r="N756" s="6">
        <v>713.61427262331631</v>
      </c>
      <c r="O756" s="6">
        <v>47.80042886474628</v>
      </c>
      <c r="P756" s="7">
        <v>5.3045246601367619</v>
      </c>
      <c r="Q756" s="7">
        <v>1.8998610814664527</v>
      </c>
      <c r="R756" s="67">
        <v>3.7853845069559395</v>
      </c>
      <c r="S756" s="7">
        <v>1.3792747245806469</v>
      </c>
      <c r="T756" s="171">
        <f t="shared" si="22"/>
        <v>2.6764895420923023</v>
      </c>
      <c r="U756" s="171">
        <f t="shared" si="23"/>
        <v>1.0351028572169334</v>
      </c>
    </row>
    <row r="757" spans="1:21" s="42" customFormat="1">
      <c r="A757" s="5">
        <v>1295</v>
      </c>
      <c r="B757" s="28">
        <v>50.024999999999999</v>
      </c>
      <c r="C757" s="5" t="s">
        <v>142</v>
      </c>
      <c r="D757" s="5">
        <v>141</v>
      </c>
      <c r="E757" s="5">
        <v>3</v>
      </c>
      <c r="F757" s="24">
        <v>50.323</v>
      </c>
      <c r="G757" s="24">
        <v>-144.869</v>
      </c>
      <c r="H757" s="5">
        <v>9</v>
      </c>
      <c r="I757" s="25">
        <v>43351.799305555556</v>
      </c>
      <c r="J757" s="26">
        <v>43351.799305555556</v>
      </c>
      <c r="K757" s="7">
        <v>2.2405218000000002</v>
      </c>
      <c r="L757" s="7">
        <v>1.6906932172382501</v>
      </c>
      <c r="M757" s="7">
        <v>7.996668826741582E-2</v>
      </c>
      <c r="N757" s="6">
        <v>1107.3122774148706</v>
      </c>
      <c r="O757" s="6">
        <v>74.588826190800262</v>
      </c>
      <c r="P757" s="7">
        <v>5.3045246601367619</v>
      </c>
      <c r="Q757" s="7">
        <v>1.8998610814664527</v>
      </c>
      <c r="R757" s="67">
        <v>5.87376528201938</v>
      </c>
      <c r="S757" s="7">
        <v>2.1406226553422321</v>
      </c>
      <c r="T757" s="171">
        <f t="shared" si="22"/>
        <v>4.1530976103328516</v>
      </c>
      <c r="U757" s="171">
        <f t="shared" si="23"/>
        <v>1.6064364589665141</v>
      </c>
    </row>
    <row r="758" spans="1:21" s="42" customFormat="1">
      <c r="A758" s="5">
        <v>1296</v>
      </c>
      <c r="B758" s="28">
        <v>75.003999999999905</v>
      </c>
      <c r="C758" s="5" t="s">
        <v>142</v>
      </c>
      <c r="D758" s="5">
        <v>141</v>
      </c>
      <c r="E758" s="5">
        <v>3</v>
      </c>
      <c r="F758" s="24">
        <v>50.323</v>
      </c>
      <c r="G758" s="24">
        <v>-144.869</v>
      </c>
      <c r="H758" s="5">
        <v>8</v>
      </c>
      <c r="I758" s="25">
        <v>43351.799305555556</v>
      </c>
      <c r="J758" s="26">
        <v>43351.799305555556</v>
      </c>
      <c r="K758" s="7">
        <v>2.2458351599999999</v>
      </c>
      <c r="L758" s="7">
        <v>2.0488181019603573</v>
      </c>
      <c r="M758" s="7">
        <v>9.2065404486463373E-2</v>
      </c>
      <c r="N758" s="6">
        <v>1234.9861675164732</v>
      </c>
      <c r="O758" s="6">
        <v>95.514379734211289</v>
      </c>
      <c r="P758" s="67">
        <v>3.4611052000000058</v>
      </c>
      <c r="Q758" s="7">
        <v>0.90137342597309555</v>
      </c>
      <c r="R758" s="67">
        <v>4.2744170463193436</v>
      </c>
      <c r="S758" s="7">
        <v>1.1612340978208657</v>
      </c>
      <c r="T758" s="171">
        <f t="shared" si="22"/>
        <v>3.0222643174008095</v>
      </c>
      <c r="U758" s="171">
        <f t="shared" si="23"/>
        <v>0.90973503529354649</v>
      </c>
    </row>
    <row r="759" spans="1:21" s="42" customFormat="1">
      <c r="A759" s="5">
        <v>1297</v>
      </c>
      <c r="B759" s="28">
        <v>95.09</v>
      </c>
      <c r="C759" s="5" t="s">
        <v>142</v>
      </c>
      <c r="D759" s="5">
        <v>141</v>
      </c>
      <c r="E759" s="5">
        <v>3</v>
      </c>
      <c r="F759" s="24">
        <v>50.323</v>
      </c>
      <c r="G759" s="24">
        <v>-144.869</v>
      </c>
      <c r="H759" s="5">
        <v>7</v>
      </c>
      <c r="I759" s="25">
        <v>43351.799305555556</v>
      </c>
      <c r="J759" s="26">
        <v>43351.799305555556</v>
      </c>
      <c r="K759" s="7">
        <v>2.2664755200000002</v>
      </c>
      <c r="L759" s="7">
        <v>2.3480600247470669</v>
      </c>
      <c r="M759" s="7">
        <v>8.7560644648446859E-2</v>
      </c>
      <c r="N759" s="6">
        <v>1194.2766418307533</v>
      </c>
      <c r="O759" s="6">
        <v>105.03307592964869</v>
      </c>
      <c r="P759" s="67">
        <v>1.9807669999999984</v>
      </c>
      <c r="Q759" s="7">
        <v>0.3603276436167297</v>
      </c>
      <c r="R759" s="67">
        <v>2.3655837610091739</v>
      </c>
      <c r="S759" s="7">
        <v>0.47798308812711521</v>
      </c>
      <c r="T759" s="171">
        <f t="shared" si="22"/>
        <v>1.6726068872659774</v>
      </c>
      <c r="U759" s="171">
        <f t="shared" si="23"/>
        <v>0.40152933312413475</v>
      </c>
    </row>
    <row r="760" spans="1:21" s="42" customFormat="1">
      <c r="A760" s="5">
        <v>1298</v>
      </c>
      <c r="B760" s="28">
        <v>109.70399999999999</v>
      </c>
      <c r="C760" s="5" t="s">
        <v>142</v>
      </c>
      <c r="D760" s="5">
        <v>141</v>
      </c>
      <c r="E760" s="5">
        <v>3</v>
      </c>
      <c r="F760" s="24">
        <v>50.323</v>
      </c>
      <c r="G760" s="24">
        <v>-144.869</v>
      </c>
      <c r="H760" s="5">
        <v>6</v>
      </c>
      <c r="I760" s="25">
        <v>43351.799305555556</v>
      </c>
      <c r="J760" s="26">
        <v>43351.799305555556</v>
      </c>
      <c r="K760" s="7">
        <v>2.2927986600000003</v>
      </c>
      <c r="L760" s="7">
        <v>2.3076642841702109</v>
      </c>
      <c r="M760" s="7">
        <v>8.6558268746217346E-2</v>
      </c>
      <c r="N760" s="6">
        <v>1187.9061513311622</v>
      </c>
      <c r="O760" s="6">
        <v>111.39065386543162</v>
      </c>
      <c r="P760" s="67">
        <v>1.5184896000000001</v>
      </c>
      <c r="Q760" s="7">
        <v>0.27499009664532481</v>
      </c>
      <c r="R760" s="67">
        <v>1.803823136572396</v>
      </c>
      <c r="S760" s="7">
        <v>0.36785670897975831</v>
      </c>
      <c r="T760" s="171">
        <f t="shared" si="22"/>
        <v>1.2754090771884559</v>
      </c>
      <c r="U760" s="171">
        <f t="shared" si="23"/>
        <v>0.30819226810988509</v>
      </c>
    </row>
    <row r="761" spans="1:21" s="42" customFormat="1">
      <c r="A761" s="5">
        <v>1299</v>
      </c>
      <c r="B761" s="28">
        <v>124.89100000000001</v>
      </c>
      <c r="C761" s="5" t="s">
        <v>142</v>
      </c>
      <c r="D761" s="5">
        <v>141</v>
      </c>
      <c r="E761" s="5">
        <v>3</v>
      </c>
      <c r="F761" s="24">
        <v>50.323</v>
      </c>
      <c r="G761" s="24">
        <v>-144.869</v>
      </c>
      <c r="H761" s="5">
        <v>5</v>
      </c>
      <c r="I761" s="25">
        <v>43351.799305555556</v>
      </c>
      <c r="J761" s="26">
        <v>43351.799305555556</v>
      </c>
      <c r="K761" s="7">
        <v>2.3134468800000003</v>
      </c>
      <c r="L761" s="7">
        <v>2.4283041571240522</v>
      </c>
      <c r="M761" s="7">
        <v>9.3884988342042675E-2</v>
      </c>
      <c r="N761" s="6">
        <v>1120.1357451597223</v>
      </c>
      <c r="O761" s="6">
        <v>124.40492355941925</v>
      </c>
      <c r="P761" s="67">
        <v>1.3651009000000001</v>
      </c>
      <c r="Q761" s="7">
        <v>0.28654044919150434</v>
      </c>
      <c r="R761" s="67">
        <v>1.5290983138397076</v>
      </c>
      <c r="S761" s="7">
        <v>0.36312345117961375</v>
      </c>
      <c r="T761" s="171">
        <f t="shared" si="22"/>
        <v>1.0811624653459775</v>
      </c>
      <c r="U761" s="171">
        <f t="shared" si="23"/>
        <v>0.29250850638408826</v>
      </c>
    </row>
    <row r="762" spans="1:21" s="42" customFormat="1">
      <c r="A762" s="5">
        <v>1300</v>
      </c>
      <c r="B762" s="28">
        <v>150.73599999999999</v>
      </c>
      <c r="C762" s="5" t="s">
        <v>142</v>
      </c>
      <c r="D762" s="5">
        <v>141</v>
      </c>
      <c r="E762" s="5">
        <v>3</v>
      </c>
      <c r="F762" s="24">
        <v>50.323</v>
      </c>
      <c r="G762" s="24">
        <v>-144.869</v>
      </c>
      <c r="H762" s="5">
        <v>4</v>
      </c>
      <c r="I762" s="25">
        <v>43351.799305555556</v>
      </c>
      <c r="J762" s="26">
        <v>43351.799305555556</v>
      </c>
      <c r="K762" s="7">
        <v>2.3292454800000004</v>
      </c>
      <c r="L762" s="7">
        <v>2.2402608659952019</v>
      </c>
      <c r="M762" s="7">
        <v>8.7241284537275157E-2</v>
      </c>
      <c r="N762" s="6">
        <v>1210.7210998264686</v>
      </c>
      <c r="O762" s="6">
        <v>152.852605922994</v>
      </c>
      <c r="P762" s="67">
        <v>1.1153752000000001</v>
      </c>
      <c r="Q762" s="7">
        <v>0.28407407092584974</v>
      </c>
      <c r="R762" s="67">
        <v>1.3504082888631677</v>
      </c>
      <c r="S762" s="7">
        <v>0.38387117747994537</v>
      </c>
      <c r="T762" s="171">
        <f t="shared" si="22"/>
        <v>0.95481810528240185</v>
      </c>
      <c r="U762" s="171">
        <f t="shared" si="23"/>
        <v>0.29830716761386988</v>
      </c>
    </row>
    <row r="763" spans="1:21" s="42" customFormat="1">
      <c r="A763" s="5">
        <v>1301</v>
      </c>
      <c r="B763" s="28">
        <v>195.68299999999999</v>
      </c>
      <c r="C763" s="5" t="s">
        <v>142</v>
      </c>
      <c r="D763" s="5">
        <v>141</v>
      </c>
      <c r="E763" s="5">
        <v>3</v>
      </c>
      <c r="F763" s="24">
        <v>50.323</v>
      </c>
      <c r="G763" s="24">
        <v>-144.869</v>
      </c>
      <c r="H763" s="5">
        <v>3</v>
      </c>
      <c r="I763" s="25">
        <v>43351.799305555556</v>
      </c>
      <c r="J763" s="26">
        <v>43351.799305555556</v>
      </c>
      <c r="K763" s="7">
        <v>2.33478678</v>
      </c>
      <c r="L763" s="7">
        <v>2.5175927474193918</v>
      </c>
      <c r="M763" s="7">
        <v>0.10871406180743214</v>
      </c>
      <c r="N763" s="6">
        <v>739.45723487106761</v>
      </c>
      <c r="O763" s="6">
        <v>319.23189001415898</v>
      </c>
      <c r="P763" s="67">
        <v>1.0344706000000001</v>
      </c>
      <c r="Q763" s="7">
        <v>7.832007326035656E-2</v>
      </c>
      <c r="R763" s="67">
        <v>0.76494676943141426</v>
      </c>
      <c r="S763" s="7">
        <v>0.33527584196028842</v>
      </c>
      <c r="T763" s="171">
        <f t="shared" si="22"/>
        <v>0.54086236811036392</v>
      </c>
      <c r="U763" s="171">
        <f t="shared" si="23"/>
        <v>0.24720971445362538</v>
      </c>
    </row>
    <row r="764" spans="1:21" s="42" customFormat="1">
      <c r="A764" s="5">
        <v>1302</v>
      </c>
      <c r="B764" s="28">
        <v>330.00900000000001</v>
      </c>
      <c r="C764" s="5" t="s">
        <v>142</v>
      </c>
      <c r="D764" s="5">
        <v>141</v>
      </c>
      <c r="E764" s="5">
        <v>3</v>
      </c>
      <c r="F764" s="24">
        <v>50.323</v>
      </c>
      <c r="G764" s="24">
        <v>-144.869</v>
      </c>
      <c r="H764" s="5">
        <v>2</v>
      </c>
      <c r="I764" s="25">
        <v>43351.799305555556</v>
      </c>
      <c r="J764" s="26">
        <v>43351.799305555556</v>
      </c>
      <c r="K764" s="7">
        <v>2.3506718400000004</v>
      </c>
      <c r="L764" s="7">
        <v>2.139800927017792</v>
      </c>
      <c r="M764" s="7">
        <v>8.1140414906781713E-2</v>
      </c>
      <c r="N764" s="6">
        <v>1660.6256341419271</v>
      </c>
      <c r="O764" s="6">
        <v>477.01830290806629</v>
      </c>
      <c r="P764" s="67">
        <v>0.93978100734870584</v>
      </c>
      <c r="Q764" s="7">
        <v>0.1503684181233878</v>
      </c>
      <c r="R764" s="67">
        <v>1.5606244312829838</v>
      </c>
      <c r="S764" s="7">
        <v>0.51314646382176288</v>
      </c>
      <c r="T764" s="171">
        <f t="shared" si="22"/>
        <v>1.1034532850723879</v>
      </c>
      <c r="U764" s="171">
        <f t="shared" si="23"/>
        <v>0.39000112271451659</v>
      </c>
    </row>
    <row r="765" spans="1:21" s="42" customFormat="1">
      <c r="A765" s="5">
        <v>1303</v>
      </c>
      <c r="B765" s="28">
        <v>499.46600000000001</v>
      </c>
      <c r="C765" s="5" t="s">
        <v>142</v>
      </c>
      <c r="D765" s="5">
        <v>141</v>
      </c>
      <c r="E765" s="5">
        <v>3</v>
      </c>
      <c r="F765" s="24">
        <v>50.323</v>
      </c>
      <c r="G765" s="24">
        <v>-144.869</v>
      </c>
      <c r="H765" s="5">
        <v>1</v>
      </c>
      <c r="I765" s="25">
        <v>43351.799305555556</v>
      </c>
      <c r="J765" s="26">
        <v>43351.799305555556</v>
      </c>
      <c r="K765" s="7">
        <v>2.36481984</v>
      </c>
      <c r="L765" s="7">
        <v>2.2629946156563143</v>
      </c>
      <c r="M765" s="7">
        <v>8.414986893348414E-2</v>
      </c>
      <c r="N765" s="6">
        <v>1908.752491600249</v>
      </c>
      <c r="O765" s="6">
        <v>519.22471139440563</v>
      </c>
      <c r="P765" s="68">
        <v>0.87680272990205399</v>
      </c>
      <c r="Q765" s="7">
        <v>0.15828163628098546</v>
      </c>
      <c r="R765" s="67">
        <v>1.6735993953424457</v>
      </c>
      <c r="S765" s="7">
        <v>0.54638475429668509</v>
      </c>
      <c r="T765" s="171">
        <f t="shared" si="22"/>
        <v>1.1833332310244473</v>
      </c>
      <c r="U765" s="171">
        <f t="shared" si="23"/>
        <v>0.41566369508329404</v>
      </c>
    </row>
    <row r="766" spans="1:21">
      <c r="A766" s="2" t="s">
        <v>37</v>
      </c>
    </row>
    <row r="767" spans="1:21" ht="16.8">
      <c r="A767" s="39" t="s">
        <v>166</v>
      </c>
    </row>
    <row r="768" spans="1:21" ht="16.8">
      <c r="A768" s="39" t="s">
        <v>167</v>
      </c>
    </row>
    <row r="769" spans="1:1" ht="16.2">
      <c r="A769" s="2" t="s">
        <v>168</v>
      </c>
    </row>
    <row r="770" spans="1:1" ht="16.2">
      <c r="A770" s="14" t="s">
        <v>169</v>
      </c>
    </row>
    <row r="771" spans="1:1" ht="16.2">
      <c r="A771" s="166" t="s">
        <v>212</v>
      </c>
    </row>
    <row r="772" spans="1:1" ht="16.2">
      <c r="A772" s="14"/>
    </row>
  </sheetData>
  <sortState xmlns:xlrd2="http://schemas.microsoft.com/office/spreadsheetml/2017/richdata2" ref="A6:W765">
    <sortCondition ref="D6:D765"/>
    <sortCondition ref="B6:B765"/>
  </sortState>
  <conditionalFormatting sqref="B1:B1048576">
    <cfRule type="cellIs" dxfId="1" priority="1" operator="between">
      <formula>42</formula>
      <formula>45</formula>
    </cfRule>
    <cfRule type="cellIs" dxfId="0" priority="2" operator="between">
      <formula>54</formula>
      <formula>59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9"/>
  <sheetViews>
    <sheetView topLeftCell="C1" workbookViewId="0">
      <selection activeCell="F21" sqref="F21"/>
    </sheetView>
  </sheetViews>
  <sheetFormatPr defaultColWidth="8.88671875" defaultRowHeight="14.4"/>
  <cols>
    <col min="4" max="4" width="4.6640625" bestFit="1" customWidth="1"/>
    <col min="9" max="9" width="4.6640625" bestFit="1" customWidth="1"/>
    <col min="14" max="14" width="4.6640625" bestFit="1" customWidth="1"/>
  </cols>
  <sheetData>
    <row r="1" spans="1:16">
      <c r="A1" t="s">
        <v>170</v>
      </c>
      <c r="B1" t="s">
        <v>171</v>
      </c>
    </row>
    <row r="4" spans="1:16" ht="16.2">
      <c r="A4" s="121"/>
      <c r="B4" s="152" t="s">
        <v>45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3"/>
    </row>
    <row r="5" spans="1:16" ht="16.8">
      <c r="A5" s="90"/>
      <c r="B5" s="156" t="s">
        <v>172</v>
      </c>
      <c r="C5" s="156"/>
      <c r="D5" s="156"/>
      <c r="E5" s="156"/>
      <c r="F5" s="156"/>
      <c r="G5" s="156" t="s">
        <v>173</v>
      </c>
      <c r="H5" s="156"/>
      <c r="I5" s="156"/>
      <c r="J5" s="156"/>
      <c r="K5" s="156"/>
      <c r="L5" s="156" t="s">
        <v>174</v>
      </c>
      <c r="M5" s="156"/>
      <c r="N5" s="156"/>
      <c r="O5" s="156"/>
      <c r="P5" s="157"/>
    </row>
    <row r="6" spans="1:16" ht="16.2">
      <c r="A6" s="90"/>
      <c r="B6" s="154" t="s">
        <v>175</v>
      </c>
      <c r="C6" s="154"/>
      <c r="D6" s="154"/>
      <c r="E6" s="154" t="s">
        <v>176</v>
      </c>
      <c r="F6" s="154"/>
      <c r="G6" s="154" t="s">
        <v>177</v>
      </c>
      <c r="H6" s="154"/>
      <c r="I6" s="154"/>
      <c r="J6" s="154" t="s">
        <v>176</v>
      </c>
      <c r="K6" s="154"/>
      <c r="L6" s="154" t="s">
        <v>178</v>
      </c>
      <c r="M6" s="154"/>
      <c r="N6" s="154"/>
      <c r="O6" s="154" t="s">
        <v>176</v>
      </c>
      <c r="P6" s="155"/>
    </row>
    <row r="7" spans="1:16" ht="16.2">
      <c r="A7" s="91" t="s">
        <v>49</v>
      </c>
      <c r="B7" s="84" t="s">
        <v>179</v>
      </c>
      <c r="C7" s="84" t="s">
        <v>180</v>
      </c>
      <c r="D7" s="103" t="s">
        <v>181</v>
      </c>
      <c r="E7" s="84" t="s">
        <v>179</v>
      </c>
      <c r="F7" s="84" t="s">
        <v>50</v>
      </c>
      <c r="G7" s="84" t="s">
        <v>179</v>
      </c>
      <c r="H7" s="84" t="s">
        <v>180</v>
      </c>
      <c r="I7" s="103" t="s">
        <v>181</v>
      </c>
      <c r="J7" s="84" t="s">
        <v>179</v>
      </c>
      <c r="K7" s="84" t="s">
        <v>50</v>
      </c>
      <c r="L7" s="84" t="s">
        <v>179</v>
      </c>
      <c r="M7" s="84" t="s">
        <v>180</v>
      </c>
      <c r="N7" s="103" t="s">
        <v>181</v>
      </c>
      <c r="O7" s="84" t="s">
        <v>179</v>
      </c>
      <c r="P7" s="86" t="s">
        <v>50</v>
      </c>
    </row>
    <row r="8" spans="1:16">
      <c r="A8" s="95">
        <v>50</v>
      </c>
      <c r="B8" s="7">
        <v>2.9348999999999998</v>
      </c>
      <c r="C8" s="7">
        <v>7.8100000000000003E-2</v>
      </c>
      <c r="D8" s="7">
        <v>0.91369999999999996</v>
      </c>
      <c r="E8" s="7">
        <v>2.95134229135618</v>
      </c>
      <c r="F8" s="119">
        <v>0.46721057759650242</v>
      </c>
      <c r="G8" s="7">
        <v>5.7625999999999999</v>
      </c>
      <c r="H8" s="7">
        <v>0.55330000000000001</v>
      </c>
      <c r="I8" s="7">
        <v>0.59699999999999998</v>
      </c>
      <c r="J8" s="7">
        <v>5.3045246601367619</v>
      </c>
      <c r="K8" s="119">
        <v>1.8998610814664527</v>
      </c>
      <c r="L8" s="67">
        <v>1.956</v>
      </c>
      <c r="M8" s="67">
        <v>5.3900000000000003E-2</v>
      </c>
      <c r="N8" s="67">
        <v>0.80649999999999999</v>
      </c>
      <c r="O8" s="67">
        <v>2.1553316400605209</v>
      </c>
      <c r="P8" s="87">
        <v>0.36065658782441606</v>
      </c>
    </row>
    <row r="9" spans="1:16">
      <c r="A9" s="95">
        <v>100</v>
      </c>
      <c r="B9" s="7">
        <v>2.9348999999999998</v>
      </c>
      <c r="C9" s="7">
        <v>7.8100000000000003E-2</v>
      </c>
      <c r="D9" s="7">
        <v>0.91369999999999996</v>
      </c>
      <c r="E9" s="7">
        <v>2.8201274524245501</v>
      </c>
      <c r="F9" s="119">
        <v>0.33544035472810629</v>
      </c>
      <c r="G9" s="7">
        <v>1.6106</v>
      </c>
      <c r="H9" s="7">
        <v>7.4099999999999999E-2</v>
      </c>
      <c r="I9" s="7">
        <v>0.70040000000000002</v>
      </c>
      <c r="J9" s="7">
        <v>1.6201526648790547</v>
      </c>
      <c r="K9" s="119">
        <v>0.26358716273084681</v>
      </c>
      <c r="L9" s="67">
        <v>1.956</v>
      </c>
      <c r="M9" s="67">
        <v>5.3900000000000003E-2</v>
      </c>
      <c r="N9" s="67">
        <v>0.80649999999999999</v>
      </c>
      <c r="O9" s="67">
        <v>2.0939907004961746</v>
      </c>
      <c r="P9" s="87">
        <v>0.41496069550596687</v>
      </c>
    </row>
    <row r="10" spans="1:16">
      <c r="A10" s="95">
        <v>150</v>
      </c>
      <c r="B10" s="7"/>
      <c r="C10" s="7"/>
      <c r="D10" s="7"/>
      <c r="E10" s="7">
        <v>1.8530066548069823</v>
      </c>
      <c r="F10" s="119">
        <v>0.27729121651334965</v>
      </c>
      <c r="G10" s="7">
        <v>1.0002</v>
      </c>
      <c r="H10" s="7">
        <v>2.0899999999999998E-2</v>
      </c>
      <c r="I10" s="7">
        <v>0.89259999999999995</v>
      </c>
      <c r="J10" s="7">
        <v>1.1169601976727355</v>
      </c>
      <c r="K10" s="119">
        <v>0.28766856890476489</v>
      </c>
      <c r="L10" s="67">
        <v>1.956</v>
      </c>
      <c r="M10" s="67">
        <v>5.3900000000000003E-2</v>
      </c>
      <c r="N10" s="67">
        <v>0.80649999999999999</v>
      </c>
      <c r="O10" s="67">
        <v>1.8483985382870203</v>
      </c>
      <c r="P10" s="87">
        <v>0.47061702834747582</v>
      </c>
    </row>
    <row r="11" spans="1:16">
      <c r="A11" s="95">
        <v>200</v>
      </c>
      <c r="B11" s="7"/>
      <c r="C11" s="7"/>
      <c r="D11" s="7"/>
      <c r="E11" s="7">
        <v>1.2967227305240985</v>
      </c>
      <c r="F11" s="119">
        <v>0.2083467997953739</v>
      </c>
      <c r="G11" s="7">
        <v>1.0002</v>
      </c>
      <c r="H11" s="7">
        <v>2.0899999999999998E-2</v>
      </c>
      <c r="I11" s="7">
        <v>0.89259999999999995</v>
      </c>
      <c r="J11" s="7">
        <v>1.0270630471020383</v>
      </c>
      <c r="K11" s="119">
        <v>6.00038648224544E-2</v>
      </c>
      <c r="L11" s="67">
        <v>1.956</v>
      </c>
      <c r="M11" s="67">
        <v>5.3900000000000003E-2</v>
      </c>
      <c r="N11" s="67">
        <v>0.80649999999999999</v>
      </c>
      <c r="O11" s="67">
        <v>2.1464335881017869</v>
      </c>
      <c r="P11" s="87">
        <v>0.38327465624092311</v>
      </c>
    </row>
    <row r="12" spans="1:16">
      <c r="A12" s="95">
        <v>330</v>
      </c>
      <c r="B12" s="7">
        <v>0.84709999999999996</v>
      </c>
      <c r="C12" s="7">
        <v>2.18E-2</v>
      </c>
      <c r="D12" s="7">
        <v>0.61240000000000006</v>
      </c>
      <c r="E12" s="7">
        <v>0.88711056805046473</v>
      </c>
      <c r="F12" s="119">
        <v>0.10285474804540835</v>
      </c>
      <c r="G12" s="7">
        <v>1.0002</v>
      </c>
      <c r="H12" s="7">
        <v>2.0899999999999998E-2</v>
      </c>
      <c r="I12" s="7">
        <v>0.89259999999999995</v>
      </c>
      <c r="J12" s="7">
        <v>0.93978100734870584</v>
      </c>
      <c r="K12" s="119">
        <v>0.1503684181233878</v>
      </c>
      <c r="L12" s="67">
        <v>1.956</v>
      </c>
      <c r="M12" s="67">
        <v>5.3900000000000003E-2</v>
      </c>
      <c r="N12" s="67">
        <v>0.80649999999999999</v>
      </c>
      <c r="O12" s="67">
        <v>2.4368606384799483</v>
      </c>
      <c r="P12" s="87">
        <v>0.83583047201096972</v>
      </c>
    </row>
    <row r="13" spans="1:16">
      <c r="A13" s="122">
        <v>500</v>
      </c>
      <c r="B13" s="9">
        <v>0.84709999999999996</v>
      </c>
      <c r="C13" s="9">
        <v>2.18E-2</v>
      </c>
      <c r="D13" s="9">
        <v>0.61240000000000006</v>
      </c>
      <c r="E13" s="9">
        <v>0.8216713238827279</v>
      </c>
      <c r="F13" s="120">
        <v>9.7320993869816408E-2</v>
      </c>
      <c r="G13" s="9">
        <v>1.0002</v>
      </c>
      <c r="H13" s="9">
        <v>2.0899999999999998E-2</v>
      </c>
      <c r="I13" s="9">
        <v>0.89259999999999995</v>
      </c>
      <c r="J13" s="9">
        <v>0.87680272990205399</v>
      </c>
      <c r="K13" s="120">
        <v>0.15828163628098546</v>
      </c>
      <c r="L13" s="117">
        <v>1.956</v>
      </c>
      <c r="M13" s="117">
        <v>5.3900000000000003E-2</v>
      </c>
      <c r="N13" s="117">
        <v>0.80649999999999999</v>
      </c>
      <c r="O13" s="117">
        <v>1.8273908791906832</v>
      </c>
      <c r="P13" s="88">
        <v>0.50584342096294777</v>
      </c>
    </row>
    <row r="14" spans="1:16">
      <c r="A14" s="2" t="s">
        <v>37</v>
      </c>
    </row>
    <row r="15" spans="1:16" ht="16.2">
      <c r="A15" s="13" t="s">
        <v>182</v>
      </c>
    </row>
    <row r="16" spans="1:16" ht="16.2">
      <c r="A16" s="14" t="s">
        <v>183</v>
      </c>
    </row>
    <row r="17" spans="1:1" ht="16.2">
      <c r="A17" s="2" t="s">
        <v>184</v>
      </c>
    </row>
    <row r="18" spans="1:1" ht="16.8">
      <c r="A18" t="s">
        <v>185</v>
      </c>
    </row>
    <row r="19" spans="1:1" ht="16.2">
      <c r="A19" s="14" t="s">
        <v>186</v>
      </c>
    </row>
  </sheetData>
  <mergeCells count="10">
    <mergeCell ref="B4:P4"/>
    <mergeCell ref="O6:P6"/>
    <mergeCell ref="B5:F5"/>
    <mergeCell ref="G5:K5"/>
    <mergeCell ref="L5:P5"/>
    <mergeCell ref="B6:D6"/>
    <mergeCell ref="E6:F6"/>
    <mergeCell ref="G6:I6"/>
    <mergeCell ref="J6:K6"/>
    <mergeCell ref="L6:N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20"/>
  <sheetViews>
    <sheetView zoomScaleNormal="100" workbookViewId="0">
      <selection activeCell="T3" sqref="T3:T5"/>
    </sheetView>
  </sheetViews>
  <sheetFormatPr defaultColWidth="8.88671875" defaultRowHeight="14.4"/>
  <cols>
    <col min="6" max="17" width="8.88671875" customWidth="1"/>
  </cols>
  <sheetData>
    <row r="1" spans="1:20">
      <c r="A1" s="2" t="s">
        <v>187</v>
      </c>
      <c r="B1" s="2" t="s">
        <v>188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T2" s="159"/>
    </row>
    <row r="3" spans="1:20" ht="16.8">
      <c r="A3" s="52"/>
      <c r="B3" s="143" t="s">
        <v>55</v>
      </c>
      <c r="C3" s="144"/>
      <c r="D3" s="144"/>
      <c r="E3" s="144"/>
      <c r="F3" s="144"/>
      <c r="G3" s="144"/>
      <c r="H3" s="143" t="s">
        <v>56</v>
      </c>
      <c r="I3" s="144"/>
      <c r="J3" s="144"/>
      <c r="K3" s="144"/>
      <c r="L3" s="144"/>
      <c r="M3" s="144"/>
      <c r="N3" s="158" t="s">
        <v>189</v>
      </c>
      <c r="O3" s="150"/>
      <c r="P3" s="150"/>
      <c r="Q3" s="150"/>
      <c r="R3" s="150"/>
      <c r="S3" s="151"/>
    </row>
    <row r="4" spans="1:20">
      <c r="A4" s="95"/>
      <c r="B4" s="146" t="s">
        <v>190</v>
      </c>
      <c r="C4" s="147"/>
      <c r="D4" s="137" t="s">
        <v>58</v>
      </c>
      <c r="E4" s="137"/>
      <c r="F4" s="148" t="s">
        <v>191</v>
      </c>
      <c r="G4" s="148"/>
      <c r="H4" s="146" t="s">
        <v>190</v>
      </c>
      <c r="I4" s="147"/>
      <c r="J4" s="137" t="s">
        <v>58</v>
      </c>
      <c r="K4" s="137"/>
      <c r="L4" s="148" t="s">
        <v>191</v>
      </c>
      <c r="M4" s="148"/>
      <c r="N4" s="146" t="s">
        <v>190</v>
      </c>
      <c r="O4" s="147"/>
      <c r="P4" s="137" t="s">
        <v>58</v>
      </c>
      <c r="Q4" s="137"/>
      <c r="R4" s="148" t="s">
        <v>191</v>
      </c>
      <c r="S4" s="149"/>
    </row>
    <row r="5" spans="1:20">
      <c r="A5" s="96" t="s">
        <v>49</v>
      </c>
      <c r="B5" s="83" t="s">
        <v>19</v>
      </c>
      <c r="C5" s="84" t="s">
        <v>23</v>
      </c>
      <c r="D5" s="84" t="s">
        <v>19</v>
      </c>
      <c r="E5" s="99" t="s">
        <v>23</v>
      </c>
      <c r="F5" s="84" t="s">
        <v>19</v>
      </c>
      <c r="G5" s="84" t="s">
        <v>23</v>
      </c>
      <c r="H5" s="83" t="s">
        <v>19</v>
      </c>
      <c r="I5" s="84" t="s">
        <v>23</v>
      </c>
      <c r="J5" s="84" t="s">
        <v>19</v>
      </c>
      <c r="K5" s="99" t="s">
        <v>23</v>
      </c>
      <c r="L5" s="84" t="s">
        <v>19</v>
      </c>
      <c r="M5" s="84" t="s">
        <v>23</v>
      </c>
      <c r="N5" s="83" t="s">
        <v>19</v>
      </c>
      <c r="O5" s="84" t="s">
        <v>23</v>
      </c>
      <c r="P5" s="84" t="s">
        <v>19</v>
      </c>
      <c r="Q5" s="99" t="s">
        <v>23</v>
      </c>
      <c r="R5" s="84" t="s">
        <v>19</v>
      </c>
      <c r="S5" s="86" t="s">
        <v>23</v>
      </c>
    </row>
    <row r="6" spans="1:20">
      <c r="A6" s="95">
        <v>50</v>
      </c>
      <c r="B6" s="11">
        <f>'Table 2'!B6*'Table 1'!O10/1000</f>
        <v>3.7666566359550391</v>
      </c>
      <c r="C6" s="116">
        <f>'Table 2'!B6*'Table 1'!O10/1000*SQRT(('Table 2'!C6/'Table 2'!B6)^2+('Table 1'!P10/'Table 1'!O10)^2)</f>
        <v>0.84168626584980855</v>
      </c>
      <c r="D6" s="116">
        <f>'Table 3'!B6</f>
        <v>6.7699104472595986</v>
      </c>
      <c r="E6" s="116">
        <f>'Table 3'!C6</f>
        <v>2.6493659355770545</v>
      </c>
      <c r="F6" s="116">
        <f>'Table 2'!F6*'Table 1'!O10/1000</f>
        <v>2.7507464140959783</v>
      </c>
      <c r="G6" s="116">
        <f>'Table 2'!F6*'Table 1'!O10/1000*SQRT(('Table 2'!G6/'Table 2'!F6)^2+('Table 1'!P10/'Table 1'!O10)^2)</f>
        <v>0.63250953497424767</v>
      </c>
      <c r="H6" s="11">
        <f>'Table 2'!B6*'Table 1'!Q10/1000</f>
        <v>2.329997364537169</v>
      </c>
      <c r="I6" s="116">
        <f>'Table 2'!B6*'Table 1'!Q10/1000*SQRT(('Table 2'!C6/'Table 2'!B6)^2+('Table 1'!R10/'Table 1'!Q10)^2)</f>
        <v>0.97916813878314768</v>
      </c>
      <c r="J6" s="116">
        <f>'Table 3'!D6</f>
        <v>4.1877651787254111</v>
      </c>
      <c r="K6" s="116">
        <f>'Table 3'!E6</f>
        <v>2.2152548041674915</v>
      </c>
      <c r="L6" s="116">
        <f>'Table 2'!F6*'Table 1'!Q10/1000</f>
        <v>1.7015705212345775</v>
      </c>
      <c r="M6" s="116">
        <f>'Table 2'!F6*'Table 1'!Q10/1000*SQRT(('Table 2'!G6/'Table 2'!F6)^2+('Table 1'!R10/'Table 1'!Q10)^2)</f>
        <v>0.72100240251432191</v>
      </c>
      <c r="N6" s="58">
        <f>AVERAGE(B6,H6)</f>
        <v>3.048327000246104</v>
      </c>
      <c r="O6" s="7">
        <f t="shared" ref="O6:O15" si="0">SQRT((C6)^2+(I6)^2)/2</f>
        <v>0.6456016601063399</v>
      </c>
      <c r="P6" s="7">
        <f t="shared" ref="P6:P15" si="1">AVERAGE(D6,J6)</f>
        <v>5.4788378129925048</v>
      </c>
      <c r="Q6" s="7">
        <f>SQRT((E6)^2+(K6)^2)/2</f>
        <v>1.7267377991449102</v>
      </c>
      <c r="R6" s="7">
        <f>AVERAGE(F6,L6)</f>
        <v>2.2261584676652779</v>
      </c>
      <c r="S6" s="59">
        <f>SQRT((G6)^2+(M6)^2)/2</f>
        <v>0.4795604175348408</v>
      </c>
      <c r="T6" s="160">
        <f>H6/B6</f>
        <v>0.61858501842082458</v>
      </c>
    </row>
    <row r="7" spans="1:20">
      <c r="A7" s="95">
        <v>65</v>
      </c>
      <c r="B7" s="11">
        <f>'Table 2'!B7*'Table 1'!O11/1000</f>
        <v>4.0983628587410958</v>
      </c>
      <c r="C7" s="116">
        <f>'Table 2'!B7*'Table 1'!O11/1000*SQRT(('Table 2'!C7/'Table 2'!B7)^2+('Table 1'!P11/'Table 1'!O11)^2)</f>
        <v>0.95306379138279629</v>
      </c>
      <c r="D7" s="116">
        <f>'Table 3'!B7</f>
        <v>5.9056035921672896</v>
      </c>
      <c r="E7" s="116">
        <f>'Table 3'!C7</f>
        <v>2.0655756174147677</v>
      </c>
      <c r="F7" s="116">
        <f>'Table 2'!F7*'Table 1'!O11/1000</f>
        <v>3.0083637582336564</v>
      </c>
      <c r="G7" s="116">
        <f>'Table 2'!F7*'Table 1'!O11/1000*SQRT(('Table 2'!G7/'Table 2'!F7)^2+('Table 1'!P11/'Table 1'!O11)^2)</f>
        <v>0.75989579075579006</v>
      </c>
      <c r="H7" s="11">
        <f>'Table 2'!B7*'Table 1'!Q11/1000</f>
        <v>2.6449844648159999</v>
      </c>
      <c r="I7" s="116">
        <f>'Table 2'!B7*'Table 1'!Q11/1000*SQRT(('Table 2'!C7/'Table 2'!B7)^2+('Table 1'!R11/'Table 1'!Q11)^2)</f>
        <v>1.1900832055264816</v>
      </c>
      <c r="J7" s="116">
        <f>'Table 3'!D7</f>
        <v>3.811334011904</v>
      </c>
      <c r="K7" s="116">
        <f>'Table 3'!E7</f>
        <v>1.9830042652876212</v>
      </c>
      <c r="L7" s="116">
        <f>'Table 2'!F7*'Table 1'!Q11/1000</f>
        <v>1.9415253551970002</v>
      </c>
      <c r="M7" s="116">
        <f>'Table 2'!F7*'Table 1'!Q11/1000*SQRT(('Table 2'!G7/'Table 2'!F7)^2+('Table 1'!R11/'Table 1'!Q11)^2)</f>
        <v>0.89430636676636777</v>
      </c>
      <c r="N7" s="58">
        <f t="shared" ref="N7:N15" si="2">AVERAGE(B7,H7)</f>
        <v>3.3716736617785479</v>
      </c>
      <c r="O7" s="7">
        <f t="shared" si="0"/>
        <v>0.7623366425866489</v>
      </c>
      <c r="P7" s="7">
        <f t="shared" si="1"/>
        <v>4.8584688020356452</v>
      </c>
      <c r="Q7" s="7">
        <f t="shared" ref="Q7:Q14" si="3">SQRT((E7)^2+(K7)^2)/2</f>
        <v>1.4316868152119808</v>
      </c>
      <c r="R7" s="7">
        <f t="shared" ref="R7:R14" si="4">AVERAGE(F7,L7)</f>
        <v>2.4749445567153283</v>
      </c>
      <c r="S7" s="59">
        <f t="shared" ref="S7:S14" si="5">SQRT((G7)^2+(M7)^2)/2</f>
        <v>0.58677625430125169</v>
      </c>
      <c r="T7" s="160">
        <f t="shared" ref="T7:T15" si="6">H7/B7</f>
        <v>0.64537586250439183</v>
      </c>
    </row>
    <row r="8" spans="1:20">
      <c r="A8" s="44">
        <v>80</v>
      </c>
      <c r="B8" s="11">
        <f>'Table 2'!B8*'Table 1'!O12/1000</f>
        <v>4.1506351319969976</v>
      </c>
      <c r="C8" s="116">
        <f>'Table 2'!B8*'Table 1'!O12/1000*SQRT(('Table 2'!C8/'Table 2'!B8)^2+('Table 1'!P12/'Table 1'!O12)^2)</f>
        <v>0.97737301778501406</v>
      </c>
      <c r="D8" s="116">
        <f>'Table 3'!B8</f>
        <v>4.465838516577441</v>
      </c>
      <c r="E8" s="116">
        <f>'Table 3'!C8</f>
        <v>1.3789063534289532</v>
      </c>
      <c r="F8" s="116">
        <f>'Table 2'!F8*'Table 1'!O12/1000</f>
        <v>3.06207887164337</v>
      </c>
      <c r="G8" s="116">
        <f>'Table 2'!F8*'Table 1'!O12/1000*SQRT(('Table 2'!G8/'Table 2'!F8)^2+('Table 1'!P12/'Table 1'!O12)^2)</f>
        <v>0.82077752414140026</v>
      </c>
      <c r="H8" s="11">
        <f>'Table 2'!B8*'Table 1'!Q12/1000</f>
        <v>2.8660079700791994</v>
      </c>
      <c r="I8" s="116">
        <f>'Table 2'!B8*'Table 1'!Q12/1000*SQRT(('Table 2'!C8/'Table 2'!B8)^2+('Table 1'!R12/'Table 1'!Q12)^2)</f>
        <v>1.4019203348608857</v>
      </c>
      <c r="J8" s="116">
        <f>'Table 3'!D8</f>
        <v>3.0836554827307991</v>
      </c>
      <c r="K8" s="116">
        <f>'Table 3'!E8</f>
        <v>1.6292697992896819</v>
      </c>
      <c r="L8" s="116">
        <f>'Table 2'!F8*'Table 1'!Q12/1000</f>
        <v>2.1143613379763995</v>
      </c>
      <c r="M8" s="116">
        <f>'Table 2'!F8*'Table 1'!Q12/1000*SQRT(('Table 2'!G8/'Table 2'!F8)^2+('Table 1'!R12/'Table 1'!Q12)^2)</f>
        <v>1.0691057541873066</v>
      </c>
      <c r="N8" s="58">
        <f t="shared" si="2"/>
        <v>3.5083215510380983</v>
      </c>
      <c r="O8" s="7">
        <f t="shared" si="0"/>
        <v>0.85449380354550308</v>
      </c>
      <c r="P8" s="7">
        <f t="shared" si="1"/>
        <v>3.7747469996541199</v>
      </c>
      <c r="Q8" s="7">
        <f t="shared" si="3"/>
        <v>1.0672280462024242</v>
      </c>
      <c r="R8" s="7">
        <f t="shared" si="4"/>
        <v>2.588220104809885</v>
      </c>
      <c r="S8" s="59">
        <f t="shared" si="5"/>
        <v>0.67391818082243793</v>
      </c>
      <c r="T8" s="160">
        <f t="shared" si="6"/>
        <v>0.69049865356396078</v>
      </c>
    </row>
    <row r="9" spans="1:20">
      <c r="A9" s="95">
        <v>100</v>
      </c>
      <c r="B9" s="11">
        <f>'Table 2'!B9*'Table 1'!O13/1000</f>
        <v>4.0942478523230585</v>
      </c>
      <c r="C9" s="116">
        <f>'Table 2'!B9*'Table 1'!O13/1000*SQRT(('Table 2'!C9/'Table 2'!B9)^2+('Table 1'!P13/'Table 1'!O13)^2)</f>
        <v>0.98620540548957725</v>
      </c>
      <c r="D9" s="116">
        <f>'Table 3'!B9</f>
        <v>2.3521300652258437</v>
      </c>
      <c r="E9" s="116">
        <f>'Table 3'!C9</f>
        <v>0.62383428944707309</v>
      </c>
      <c r="F9" s="116">
        <f>'Table 2'!F9*'Table 1'!O13/1000</f>
        <v>3.0400459103081237</v>
      </c>
      <c r="G9" s="116">
        <f>'Table 2'!F9*'Table 1'!O13/1000*SQRT(('Table 2'!G9/'Table 2'!F9)^2+('Table 1'!P13/'Table 1'!O13)^2)</f>
        <v>0.87658580223981508</v>
      </c>
      <c r="H9" s="11">
        <f>'Table 2'!B9*'Table 1'!Q13/1000</f>
        <v>2.8869095764460231</v>
      </c>
      <c r="I9" s="116">
        <f>'Table 2'!B9*'Table 1'!Q13/1000*SQRT(('Table 2'!C9/'Table 2'!B9)^2+('Table 1'!R13/'Table 1'!Q13)^2)</f>
        <v>1.5756808694836848</v>
      </c>
      <c r="J9" s="116">
        <f>'Table 3'!D9</f>
        <v>1.6585187451449137</v>
      </c>
      <c r="K9" s="116">
        <f>'Table 3'!E9</f>
        <v>0.92375291608305121</v>
      </c>
      <c r="L9" s="116">
        <f>'Table 2'!F9*'Table 1'!Q13/1000</f>
        <v>2.1435775184749581</v>
      </c>
      <c r="M9" s="116">
        <f>'Table 2'!F9*'Table 1'!Q13/1000*SQRT(('Table 2'!G9/'Table 2'!F9)^2+('Table 1'!R13/'Table 1'!Q13)^2)</f>
        <v>1.2183030833165767</v>
      </c>
      <c r="N9" s="58">
        <f t="shared" si="2"/>
        <v>3.490578714384541</v>
      </c>
      <c r="O9" s="7">
        <f t="shared" si="0"/>
        <v>0.92943145313058484</v>
      </c>
      <c r="P9" s="7">
        <f t="shared" si="1"/>
        <v>2.0053244051853785</v>
      </c>
      <c r="Q9" s="7">
        <f t="shared" si="3"/>
        <v>0.55733487928306513</v>
      </c>
      <c r="R9" s="7">
        <f t="shared" si="4"/>
        <v>2.5918117143915409</v>
      </c>
      <c r="S9" s="59">
        <f t="shared" si="5"/>
        <v>0.75044404713261226</v>
      </c>
      <c r="T9" s="160">
        <f t="shared" si="6"/>
        <v>0.70511353503134966</v>
      </c>
    </row>
    <row r="10" spans="1:20">
      <c r="A10" s="95">
        <v>120</v>
      </c>
      <c r="B10" s="11">
        <f>'Table 2'!B10*'Table 1'!O14/1000</f>
        <v>3.4815005111881647</v>
      </c>
      <c r="C10" s="116">
        <f>'Table 2'!B10*'Table 1'!O14/1000*SQRT(('Table 2'!C10/'Table 2'!B10)^2+('Table 1'!P14/'Table 1'!O14)^2)</f>
        <v>1.0007132199720876</v>
      </c>
      <c r="D10" s="116">
        <f>'Table 3'!B10</f>
        <v>2.0195958304936266</v>
      </c>
      <c r="E10" s="116">
        <f>'Table 3'!C10</f>
        <v>0.6564478283362879</v>
      </c>
      <c r="F10" s="116">
        <f>'Table 2'!F10*'Table 1'!O14/1000</f>
        <v>2.8515636568836129</v>
      </c>
      <c r="G10" s="116">
        <f>'Table 2'!F10*'Table 1'!O14/1000*SQRT(('Table 2'!G10/'Table 2'!F10)^2+('Table 1'!P14/'Table 1'!O14)^2)</f>
        <v>0.96337840942743702</v>
      </c>
      <c r="H10" s="11">
        <f>'Table 2'!B10*'Table 1'!Q14/1000</f>
        <v>2.5010459195135999</v>
      </c>
      <c r="I10" s="116">
        <f>'Table 2'!B10*'Table 1'!Q14/1000*SQRT(('Table 2'!C10/'Table 2'!B10)^2+('Table 1'!R14/'Table 1'!Q14)^2)</f>
        <v>1.6720973569075759</v>
      </c>
      <c r="J10" s="116">
        <f>'Table 3'!D10</f>
        <v>1.4508404909579999</v>
      </c>
      <c r="K10" s="116">
        <f>'Table 3'!E10</f>
        <v>0.99464795129969952</v>
      </c>
      <c r="L10" s="116">
        <f>'Table 2'!F10*'Table 1'!Q14/1000</f>
        <v>2.0485108720688001</v>
      </c>
      <c r="M10" s="116">
        <f>'Table 2'!F10*'Table 1'!Q14/1000*SQRT(('Table 2'!G10/'Table 2'!F10)^2+('Table 1'!R14/'Table 1'!Q14)^2)</f>
        <v>1.4170137077018716</v>
      </c>
      <c r="N10" s="58">
        <f t="shared" si="2"/>
        <v>2.9912732153508825</v>
      </c>
      <c r="O10" s="7">
        <f t="shared" si="0"/>
        <v>0.97433779045105884</v>
      </c>
      <c r="P10" s="7">
        <f t="shared" si="1"/>
        <v>1.7352181607258133</v>
      </c>
      <c r="Q10" s="7">
        <f t="shared" si="3"/>
        <v>0.5958708539507781</v>
      </c>
      <c r="R10" s="7">
        <f t="shared" si="4"/>
        <v>2.4500372644762063</v>
      </c>
      <c r="S10" s="59">
        <f t="shared" si="5"/>
        <v>0.85674176499776522</v>
      </c>
      <c r="T10" s="160">
        <f t="shared" si="6"/>
        <v>0.71838160341388091</v>
      </c>
    </row>
    <row r="11" spans="1:20">
      <c r="A11" s="95">
        <v>150</v>
      </c>
      <c r="B11" s="11">
        <f>'Table 2'!B11*'Table 1'!O15/1000</f>
        <v>2.5649764222164868</v>
      </c>
      <c r="C11" s="116">
        <f>'Table 2'!B11*'Table 1'!O15/1000*SQRT(('Table 2'!C11/'Table 2'!B11)^2+('Table 1'!P15/'Table 1'!O15)^2)</f>
        <v>0.87160212934636994</v>
      </c>
      <c r="D11" s="116">
        <f>'Table 3'!B11</f>
        <v>1.5461231961324293</v>
      </c>
      <c r="E11" s="116">
        <f>'Table 3'!C11</f>
        <v>0.61730171721791938</v>
      </c>
      <c r="F11" s="116">
        <f>'Table 2'!F11*'Table 1'!O15/1000</f>
        <v>2.5585977563903999</v>
      </c>
      <c r="G11" s="116">
        <f>'Table 2'!F11*'Table 1'!O15/1000*SQRT(('Table 2'!G11/'Table 2'!F11)^2+('Table 1'!P15/'Table 1'!O15)^2)</f>
        <v>1.0167073249511569</v>
      </c>
      <c r="H11" s="11">
        <f>'Table 2'!B11*'Table 1'!Q15/1000</f>
        <v>1.7433591385966924</v>
      </c>
      <c r="I11" s="116">
        <f>'Table 2'!B11*'Table 1'!Q15/1000*SQRT(('Table 2'!C11/'Table 2'!B11)^2+('Table 1'!R15/'Table 1'!Q15)^2)</f>
        <v>1.6158311311312918</v>
      </c>
      <c r="J11" s="116">
        <f>'Table 3'!D11</f>
        <v>1.0508665810832543</v>
      </c>
      <c r="K11" s="116">
        <f>'Table 3'!E11</f>
        <v>0.99859210454120284</v>
      </c>
      <c r="L11" s="116">
        <f>'Table 2'!F11*'Table 1'!Q15/1000</f>
        <v>1.7390236970450101</v>
      </c>
      <c r="M11" s="116">
        <f>'Table 2'!F11*'Table 1'!Q15/1000*SQRT(('Table 2'!G11/'Table 2'!F11)^2+('Table 1'!R15/'Table 1'!Q15)^2)</f>
        <v>1.6511400153109055</v>
      </c>
      <c r="N11" s="58">
        <f t="shared" si="2"/>
        <v>2.1541677804065897</v>
      </c>
      <c r="O11" s="7">
        <f t="shared" si="0"/>
        <v>0.91795976439794946</v>
      </c>
      <c r="P11" s="7">
        <f t="shared" si="1"/>
        <v>1.2984948886078418</v>
      </c>
      <c r="Q11" s="7">
        <f t="shared" si="3"/>
        <v>0.58699395255237097</v>
      </c>
      <c r="R11" s="7">
        <f t="shared" si="4"/>
        <v>2.1488107267177048</v>
      </c>
      <c r="S11" s="59">
        <f t="shared" si="5"/>
        <v>0.96953044495392637</v>
      </c>
      <c r="T11" s="160">
        <f t="shared" si="6"/>
        <v>0.67967842647465515</v>
      </c>
    </row>
    <row r="12" spans="1:20">
      <c r="A12" s="95">
        <v>200</v>
      </c>
      <c r="B12" s="11">
        <f>'Table 2'!B12*'Table 1'!O16/1000</f>
        <v>1.6642773264142203</v>
      </c>
      <c r="C12" s="116">
        <f>'Table 2'!B12*'Table 1'!O16/1000*SQRT(('Table 2'!C12/'Table 2'!B12)^2+('Table 1'!P16/'Table 1'!O16)^2)</f>
        <v>0.80396569878662982</v>
      </c>
      <c r="D12" s="116">
        <f>'Table 3'!B12</f>
        <v>1.3181829097720568</v>
      </c>
      <c r="E12" s="116">
        <f>'Table 3'!C12</f>
        <v>0.60544113531764054</v>
      </c>
      <c r="F12" s="116">
        <f>'Table 2'!F12*'Table 1'!O16/1000</f>
        <v>2.7548377685088603</v>
      </c>
      <c r="G12" s="116">
        <f>'Table 2'!F12*'Table 1'!O16/1000*SQRT(('Table 2'!G12/'Table 2'!F12)^2+('Table 1'!P16/'Table 1'!O16)^2)</f>
        <v>1.3479801396180615</v>
      </c>
      <c r="H12" s="11">
        <f>'Table 2'!B12*'Table 1'!Q16/1000</f>
        <v>1.0038358303176345</v>
      </c>
      <c r="I12" s="116">
        <f>'Table 2'!B12*'Table 1'!Q16/1000*SQRT(('Table 2'!C12/'Table 2'!B12)^2+('Table 1'!R16/'Table 1'!Q16)^2)</f>
        <v>1.6456728032676333</v>
      </c>
      <c r="J12" s="116">
        <f>'Table 3'!D12</f>
        <v>0.79508337627391823</v>
      </c>
      <c r="K12" s="116">
        <f>'Table 3'!E12</f>
        <v>1.2980035047677732</v>
      </c>
      <c r="L12" s="116">
        <f>'Table 2'!F12*'Table 1'!Q16/1000</f>
        <v>1.6616250277828952</v>
      </c>
      <c r="M12" s="116">
        <f>'Table 2'!F12*'Table 1'!Q16/1000*SQRT(('Table 2'!G12/'Table 2'!F12)^2+('Table 1'!R16/'Table 1'!Q16)^2)</f>
        <v>2.7271163319034715</v>
      </c>
      <c r="N12" s="58">
        <f t="shared" si="2"/>
        <v>1.3340565783659275</v>
      </c>
      <c r="O12" s="7">
        <f t="shared" si="0"/>
        <v>0.91577833292781941</v>
      </c>
      <c r="P12" s="7">
        <f t="shared" si="1"/>
        <v>1.0566331430229874</v>
      </c>
      <c r="Q12" s="7">
        <f t="shared" si="3"/>
        <v>0.71613058633257243</v>
      </c>
      <c r="R12" s="7">
        <f t="shared" si="4"/>
        <v>2.2082313981458777</v>
      </c>
      <c r="S12" s="59">
        <f t="shared" si="5"/>
        <v>1.5210369772411332</v>
      </c>
      <c r="T12" s="160">
        <f t="shared" si="6"/>
        <v>0.60316619975857966</v>
      </c>
    </row>
    <row r="13" spans="1:20">
      <c r="A13" s="95">
        <v>280</v>
      </c>
      <c r="B13" s="11">
        <f>'Table 2'!B13*'Table 1'!O17/1000</f>
        <v>1.2285954114413855</v>
      </c>
      <c r="C13" s="116">
        <f>'Table 2'!B13*'Table 1'!O17/1000*SQRT(('Table 2'!C13/'Table 2'!B13)^2+('Table 1'!P17/'Table 1'!O17)^2)</f>
        <v>0.48908125854426604</v>
      </c>
      <c r="D13" s="116">
        <f>'Table 3'!B13</f>
        <v>1.1504153173580074</v>
      </c>
      <c r="E13" s="116">
        <f>'Table 3'!C13</f>
        <v>0.45340936103785723</v>
      </c>
      <c r="F13" s="116">
        <f>'Table 2'!F13*'Table 1'!O17/1000</f>
        <v>2.7596619795651103</v>
      </c>
      <c r="G13" s="116">
        <f>'Table 2'!F13*'Table 1'!O17/1000*SQRT(('Table 2'!G13/'Table 2'!F13)^2+('Table 1'!P17/'Table 1'!O17)^2)</f>
        <v>1.2915128383113601</v>
      </c>
      <c r="H13" s="11">
        <f>'Table 2'!B13*'Table 1'!Q17/1000</f>
        <v>1.1336340364154001</v>
      </c>
      <c r="I13" s="116">
        <f>'Table 2'!B13*'Table 1'!Q17/1000*SQRT(('Table 2'!C13/'Table 2'!B13)^2+('Table 1'!R17/'Table 1'!Q17)^2)</f>
        <v>1.4327133396442713</v>
      </c>
      <c r="J13" s="116">
        <f>'Table 3'!D13</f>
        <v>1.0614966877017999</v>
      </c>
      <c r="K13" s="116">
        <f>'Table 3'!E13</f>
        <v>1.3402280380033291</v>
      </c>
      <c r="L13" s="116">
        <f>'Table 2'!F13*'Table 1'!Q17/1000</f>
        <v>2.5463604372135999</v>
      </c>
      <c r="M13" s="116">
        <f>'Table 2'!F13*'Table 1'!Q17/1000*SQRT(('Table 2'!G13/'Table 2'!F13)^2+('Table 1'!R17/'Table 1'!Q17)^2)</f>
        <v>3.2785830164203036</v>
      </c>
      <c r="N13" s="58">
        <f t="shared" si="2"/>
        <v>1.1811147239283928</v>
      </c>
      <c r="O13" s="7">
        <f t="shared" si="0"/>
        <v>0.75694583542250304</v>
      </c>
      <c r="P13" s="7">
        <f t="shared" si="1"/>
        <v>1.1059560025299038</v>
      </c>
      <c r="Q13" s="7">
        <f t="shared" si="3"/>
        <v>0.70742336025307551</v>
      </c>
      <c r="R13" s="7">
        <f t="shared" si="4"/>
        <v>2.6530112083893549</v>
      </c>
      <c r="S13" s="59">
        <f t="shared" si="5"/>
        <v>1.7618961381905236</v>
      </c>
      <c r="T13" s="160">
        <f t="shared" si="6"/>
        <v>0.92270736636190354</v>
      </c>
    </row>
    <row r="14" spans="1:20">
      <c r="A14" s="95">
        <v>330</v>
      </c>
      <c r="B14" s="11">
        <f>'Table 2'!B14*'Table 1'!O18/1000</f>
        <v>1.2983039266934702</v>
      </c>
      <c r="C14" s="116">
        <f>'Table 2'!B14*'Table 1'!O18/1000*SQRT(('Table 2'!C14/'Table 2'!B14)^2+('Table 1'!P18/'Table 1'!O18)^2)</f>
        <v>0.79980503430122851</v>
      </c>
      <c r="D14" s="116">
        <f>'Table 3'!B14</f>
        <v>1.3753881601863198</v>
      </c>
      <c r="E14" s="116">
        <f>'Table 3'!C14</f>
        <v>0.86075736404656256</v>
      </c>
      <c r="F14" s="116">
        <f>'Table 2'!F14*'Table 1'!O18/1000</f>
        <v>3.5663939194142218</v>
      </c>
      <c r="G14" s="116">
        <f>'Table 2'!F14*'Table 1'!O18/1000*SQRT(('Table 2'!G14/'Table 2'!F14)^2+('Table 1'!P18/'Table 1'!O18)^2)</f>
        <v>2.4803898798232278</v>
      </c>
      <c r="H14" s="11">
        <f>'Table 2'!B14*'Table 1'!Q18/1000</f>
        <v>1.1265235556495099</v>
      </c>
      <c r="I14" s="116">
        <f>'Table 2'!B14*'Table 1'!Q18/1000*SQRT(('Table 2'!C14/'Table 2'!B14)^2+('Table 1'!R18/'Table 1'!Q18)^2)</f>
        <v>1.7445075651859561</v>
      </c>
      <c r="J14" s="116">
        <f>'Table 3'!D14</f>
        <v>1.1934086686138061</v>
      </c>
      <c r="K14" s="116">
        <f>'Table 3'!E14</f>
        <v>1.8527632154522269</v>
      </c>
      <c r="L14" s="116">
        <f>'Table 2'!F14*'Table 1'!Q18/1000</f>
        <v>3.0945194544527199</v>
      </c>
      <c r="M14" s="116">
        <f>'Table 2'!F14*'Table 1'!Q18/1000*SQRT(('Table 2'!G14/'Table 2'!F14)^2+('Table 1'!R18/'Table 1'!Q18)^2)</f>
        <v>4.8951060253495955</v>
      </c>
      <c r="N14" s="58">
        <f t="shared" si="2"/>
        <v>1.2124137411714901</v>
      </c>
      <c r="O14" s="7">
        <f t="shared" si="0"/>
        <v>0.95955650405338588</v>
      </c>
      <c r="P14" s="7">
        <f t="shared" si="1"/>
        <v>1.2843984144000631</v>
      </c>
      <c r="Q14" s="7">
        <f t="shared" si="3"/>
        <v>1.0214737848194224</v>
      </c>
      <c r="R14" s="7">
        <f t="shared" si="4"/>
        <v>3.3304566869334709</v>
      </c>
      <c r="S14" s="59">
        <f t="shared" si="5"/>
        <v>2.743829302058685</v>
      </c>
      <c r="T14" s="160">
        <f t="shared" si="6"/>
        <v>0.86768863013342978</v>
      </c>
    </row>
    <row r="15" spans="1:20">
      <c r="A15" s="122">
        <v>500</v>
      </c>
      <c r="B15" s="12">
        <f>'Table 2'!B15*'Table 1'!O19/1000</f>
        <v>1.2547691230946827</v>
      </c>
      <c r="C15" s="118">
        <f>'Table 2'!B15*'Table 1'!O19/1000*SQRT(('Table 2'!C15/'Table 2'!B15)^2+('Table 1'!P19/'Table 1'!O19)^2)</f>
        <v>0.93109965621337143</v>
      </c>
      <c r="D15" s="118">
        <f>'Table 3'!B15</f>
        <v>1.3389599473027818</v>
      </c>
      <c r="E15" s="118">
        <f>'Table 3'!C15</f>
        <v>1.0101788577528859</v>
      </c>
      <c r="F15" s="118">
        <f>'Table 2'!F15*'Table 1'!O19/1000</f>
        <v>2.7905971455815028</v>
      </c>
      <c r="G15" s="118">
        <f>'Table 2'!F15*'Table 1'!O19/1000*SQRT(('Table 2'!G15/'Table 2'!F15)^2+('Table 1'!P19/'Table 1'!O19)^2)</f>
        <v>2.1852927643183939</v>
      </c>
      <c r="H15" s="12">
        <f>'Table 2'!B15*'Table 1'!Q19/1000</f>
        <v>0.91721135015995325</v>
      </c>
      <c r="I15" s="118">
        <f>'Table 2'!B15*'Table 1'!Q19/1000*SQRT(('Table 2'!C15/'Table 2'!B15)^2+('Table 1'!R19/'Table 1'!Q19)^2)</f>
        <v>2.0055696185349183</v>
      </c>
      <c r="J15" s="118">
        <f>'Table 3'!D15</f>
        <v>0.97875317337005685</v>
      </c>
      <c r="K15" s="118">
        <f>'Table 3'!E15</f>
        <v>2.1442863393540543</v>
      </c>
      <c r="L15" s="118">
        <f>'Table 2'!F15*'Table 1'!Q19/1000</f>
        <v>2.0398711831054364</v>
      </c>
      <c r="M15" s="118">
        <f>'Table 2'!F15*'Table 1'!Q19/1000*SQRT(('Table 2'!G15/'Table 2'!F15)^2+('Table 1'!R19/'Table 1'!Q19)^2)</f>
        <v>4.4894747980772509</v>
      </c>
      <c r="N15" s="60">
        <f t="shared" si="2"/>
        <v>1.085990236627318</v>
      </c>
      <c r="O15" s="9">
        <f t="shared" si="0"/>
        <v>1.1055831113705288</v>
      </c>
      <c r="P15" s="9">
        <f t="shared" si="1"/>
        <v>1.1588565603364194</v>
      </c>
      <c r="Q15" s="9">
        <f>SQRT((E15)^2+(K15)^2)/2</f>
        <v>1.1851608782978933</v>
      </c>
      <c r="R15" s="9">
        <f>AVERAGE(F15,L15)</f>
        <v>2.4152341643434694</v>
      </c>
      <c r="S15" s="61">
        <f>SQRT((G15)^2+(M15)^2)/2</f>
        <v>2.4965420299062213</v>
      </c>
      <c r="T15" s="160">
        <f t="shared" si="6"/>
        <v>0.73098017258968051</v>
      </c>
    </row>
    <row r="16" spans="1:20">
      <c r="A16" s="2" t="s">
        <v>37</v>
      </c>
      <c r="B16" s="2"/>
      <c r="C16" s="2"/>
      <c r="D16" s="2"/>
      <c r="E16" s="2"/>
      <c r="F16" s="2"/>
      <c r="G16" s="2"/>
      <c r="H16" s="2"/>
      <c r="I16" s="2"/>
      <c r="J16" s="73"/>
      <c r="K16" s="73"/>
      <c r="L16" s="2"/>
      <c r="T16" s="161"/>
    </row>
    <row r="17" spans="1:12" ht="16.2">
      <c r="A17" s="14" t="s">
        <v>192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6.2">
      <c r="A18" s="14" t="s">
        <v>193</v>
      </c>
      <c r="D18" s="2"/>
      <c r="E18" s="2"/>
      <c r="F18" s="2"/>
      <c r="G18" s="2"/>
      <c r="H18" s="2"/>
      <c r="I18" s="2"/>
      <c r="J18" s="2"/>
      <c r="K18" s="2"/>
      <c r="L18" s="2"/>
    </row>
    <row r="19" spans="1:12" ht="16.2">
      <c r="A19" s="2" t="s">
        <v>61</v>
      </c>
    </row>
    <row r="20" spans="1:12" ht="16.2">
      <c r="A20" s="14" t="s">
        <v>194</v>
      </c>
    </row>
  </sheetData>
  <mergeCells count="12">
    <mergeCell ref="B3:G3"/>
    <mergeCell ref="H3:M3"/>
    <mergeCell ref="N3:S3"/>
    <mergeCell ref="B4:C4"/>
    <mergeCell ref="D4:E4"/>
    <mergeCell ref="F4:G4"/>
    <mergeCell ref="H4:I4"/>
    <mergeCell ref="J4:K4"/>
    <mergeCell ref="L4:M4"/>
    <mergeCell ref="N4:O4"/>
    <mergeCell ref="P4:Q4"/>
    <mergeCell ref="R4:S4"/>
  </mergeCells>
  <pageMargins left="0.25" right="0.25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S1</vt:lpstr>
      <vt:lpstr>Table S2</vt:lpstr>
      <vt:lpstr>Table S3</vt:lpstr>
    </vt:vector>
  </TitlesOfParts>
  <Manager/>
  <Company>Woods Hole Oceanographic Institution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 Buesseler</dc:creator>
  <cp:keywords/>
  <dc:description/>
  <cp:lastModifiedBy>Ken Buesseler</cp:lastModifiedBy>
  <cp:revision/>
  <dcterms:created xsi:type="dcterms:W3CDTF">2019-10-21T20:12:59Z</dcterms:created>
  <dcterms:modified xsi:type="dcterms:W3CDTF">2022-08-30T14:34:59Z</dcterms:modified>
  <cp:category/>
  <cp:contentStatus/>
</cp:coreProperties>
</file>